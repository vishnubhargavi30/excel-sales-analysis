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xr:revisionPtr revIDLastSave="0" documentId="8_{26FBBFD4-638C-A24F-8A2D-BBCCD2D86170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ivot table" sheetId="2" r:id="rId1"/>
    <sheet name="Subbarao analysis" sheetId="3" r:id="rId2"/>
    <sheet name="Purchase Modes" sheetId="4" r:id="rId3"/>
    <sheet name="Sales" sheetId="1" r:id="rId4"/>
    <sheet name="Customer Analysis" sheetId="5" r:id="rId5"/>
  </sheets>
  <definedNames>
    <definedName name="Slicer_Purchase_Mode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4" l="1" a="1"/>
  <c r="E18" i="4" a="1"/>
  <c r="D18" i="4" a="1"/>
  <c r="C18" i="4" a="1"/>
  <c r="B14" i="3" a="1"/>
  <c r="D10" i="3"/>
  <c r="D9" i="3"/>
  <c r="D8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<sst xmlns="http://schemas.openxmlformats.org/spreadsheetml/2006/main" count="3304" uniqueCount="905">
  <si>
    <t>Date</t>
  </si>
  <si>
    <t>Purchase Amount</t>
  </si>
  <si>
    <t>Sum of Purchase Amount</t>
  </si>
  <si>
    <t>(blank)</t>
  </si>
  <si>
    <t>4-Dec-23 Total</t>
  </si>
  <si>
    <t>5-Dec-23 Total</t>
  </si>
  <si>
    <t>6-Dec-23 Total</t>
  </si>
  <si>
    <t>8-Dec-23 Total</t>
  </si>
  <si>
    <t>9-Dec-23 Total</t>
  </si>
  <si>
    <t>10-Dec-23 Total</t>
  </si>
  <si>
    <t>11-Dec-23 Total</t>
  </si>
  <si>
    <t>12-Dec-23 Total</t>
  </si>
  <si>
    <t>13-Dec-23 Total</t>
  </si>
  <si>
    <t>14-Dec-23 Total</t>
  </si>
  <si>
    <t>15-Dec-23 Total</t>
  </si>
  <si>
    <t>16-Dec-23 Total</t>
  </si>
  <si>
    <t>17-Dec-23 Total</t>
  </si>
  <si>
    <t>18-Dec-23 Total</t>
  </si>
  <si>
    <t>19-Dec-23 Total</t>
  </si>
  <si>
    <t>20-Dec-23 Total</t>
  </si>
  <si>
    <t>21-Dec-23 Total</t>
  </si>
  <si>
    <t>22-Dec-23 Total</t>
  </si>
  <si>
    <t>23-Dec-23 Total</t>
  </si>
  <si>
    <t>24-Dec-23 Total</t>
  </si>
  <si>
    <t>25-Dec-23 Total</t>
  </si>
  <si>
    <t>26-Dec-23 Total</t>
  </si>
  <si>
    <t>27-Dec-23 Total</t>
  </si>
  <si>
    <t>28-Dec-23 Total</t>
  </si>
  <si>
    <t>29-Dec-23 Total</t>
  </si>
  <si>
    <t>30-Dec-23 Total</t>
  </si>
  <si>
    <t>31-Dec-23 Total</t>
  </si>
  <si>
    <t>1-Jan-24 Total</t>
  </si>
  <si>
    <t>2-Jan-24 Total</t>
  </si>
  <si>
    <t>3-Jan-24 Total</t>
  </si>
  <si>
    <t>4-Jan-24 Total</t>
  </si>
  <si>
    <t>5-Jan-24 Total</t>
  </si>
  <si>
    <t>6-Jan-24 Total</t>
  </si>
  <si>
    <t>7-Jan-24 Total</t>
  </si>
  <si>
    <t>8-Jan-24 Total</t>
  </si>
  <si>
    <t>9-Jan-24 Total</t>
  </si>
  <si>
    <t>10-Jan-24 Total</t>
  </si>
  <si>
    <t>11-Jan-24 Total</t>
  </si>
  <si>
    <t>12-Jan-24 Total</t>
  </si>
  <si>
    <t>13-Jan-24 Total</t>
  </si>
  <si>
    <t>14-Jan-24 Total</t>
  </si>
  <si>
    <t>15-Jan-24 Total</t>
  </si>
  <si>
    <t>16-Jan-24 Total</t>
  </si>
  <si>
    <t>17-Jan-24 Total</t>
  </si>
  <si>
    <t>18-Jan-24 Total</t>
  </si>
  <si>
    <t>19-Jan-24 Total</t>
  </si>
  <si>
    <t>20-Jan-24 Total</t>
  </si>
  <si>
    <t>21-Jan-24 Total</t>
  </si>
  <si>
    <t>22-Jan-24 Total</t>
  </si>
  <si>
    <t>23-Jan-24 Total</t>
  </si>
  <si>
    <t>24-Jan-24 Total</t>
  </si>
  <si>
    <t>25-Jan-24 Total</t>
  </si>
  <si>
    <t>26-Jan-24 Total</t>
  </si>
  <si>
    <t>27-Jan-24 Total</t>
  </si>
  <si>
    <t>28-Jan-24 Total</t>
  </si>
  <si>
    <t>29-Jan-24 Total</t>
  </si>
  <si>
    <t>30-Jan-24 Total</t>
  </si>
  <si>
    <t>31-Jan-24 Total</t>
  </si>
  <si>
    <t>1-Feb-24 Total</t>
  </si>
  <si>
    <t>2-Feb-24 Total</t>
  </si>
  <si>
    <t>3-Feb-24 Total</t>
  </si>
  <si>
    <t>4-Feb-24 Total</t>
  </si>
  <si>
    <t>5-Feb-24 Total</t>
  </si>
  <si>
    <t>7-Feb-24 Total</t>
  </si>
  <si>
    <t>8-Feb-24 Total</t>
  </si>
  <si>
    <t>9-Feb-24 Total</t>
  </si>
  <si>
    <t>10-Feb-24 Total</t>
  </si>
  <si>
    <t>11-Feb-24 Total</t>
  </si>
  <si>
    <t>12-Feb-24 Total</t>
  </si>
  <si>
    <t>13-Feb-24 Total</t>
  </si>
  <si>
    <t>14-Feb-24 Total</t>
  </si>
  <si>
    <t>15-Feb-24 Total</t>
  </si>
  <si>
    <t>16-Feb-24 Total</t>
  </si>
  <si>
    <t>17-Feb-24 Total</t>
  </si>
  <si>
    <t>18-Feb-24 Total</t>
  </si>
  <si>
    <t>19-Feb-24 Total</t>
  </si>
  <si>
    <t>20-Feb-24 Total</t>
  </si>
  <si>
    <t>21-Feb-24 Total</t>
  </si>
  <si>
    <t>22-Feb-24 Total</t>
  </si>
  <si>
    <t>23-Feb-24 Total</t>
  </si>
  <si>
    <t>24-Feb-24 Total</t>
  </si>
  <si>
    <t>25-Feb-24 Total</t>
  </si>
  <si>
    <t>26-Feb-24 Total</t>
  </si>
  <si>
    <t>27-Feb-24 Total</t>
  </si>
  <si>
    <t>28-Feb-24 Total</t>
  </si>
  <si>
    <t>Grand Total</t>
  </si>
  <si>
    <t>First name</t>
  </si>
  <si>
    <t>Subbarao</t>
  </si>
  <si>
    <t xml:space="preserve"> </t>
  </si>
  <si>
    <t>Number of records</t>
  </si>
  <si>
    <t>Total purchase amount</t>
  </si>
  <si>
    <t>Highest</t>
  </si>
  <si>
    <t>All the data....</t>
  </si>
  <si>
    <t>Purchase Mode</t>
  </si>
  <si>
    <t>Count of Txn ID</t>
  </si>
  <si>
    <t>Phone in</t>
  </si>
  <si>
    <t>In store</t>
  </si>
  <si>
    <t>App</t>
  </si>
  <si>
    <t>Website</t>
  </si>
  <si>
    <t>Amount</t>
  </si>
  <si>
    <t>No.of.Transactions</t>
  </si>
  <si>
    <t>Successful transactions</t>
  </si>
  <si>
    <t>Successful %</t>
  </si>
  <si>
    <t>Txn ID</t>
  </si>
  <si>
    <t>First Name</t>
  </si>
  <si>
    <t>Last Name</t>
  </si>
  <si>
    <t>Email</t>
  </si>
  <si>
    <t>Job Title</t>
  </si>
  <si>
    <t>Product</t>
  </si>
  <si>
    <t>Status</t>
  </si>
  <si>
    <t>TX00-01</t>
  </si>
  <si>
    <t>Yedukondalu</t>
  </si>
  <si>
    <t>Panditula</t>
  </si>
  <si>
    <t>ypanditula@hugedomains.com</t>
  </si>
  <si>
    <t>Office Assistant</t>
  </si>
  <si>
    <t>Drinking Coco</t>
  </si>
  <si>
    <t>TX00-02</t>
  </si>
  <si>
    <t>Ponnan</t>
  </si>
  <si>
    <t>Delhi</t>
  </si>
  <si>
    <t>pdelhi@yale.edu</t>
  </si>
  <si>
    <t>Analyst</t>
  </si>
  <si>
    <t>Honey Caramel Truffle</t>
  </si>
  <si>
    <t>TX00-03</t>
  </si>
  <si>
    <t>Prerana</t>
  </si>
  <si>
    <t>Nishita</t>
  </si>
  <si>
    <t>pnishita5@google.de</t>
  </si>
  <si>
    <t>Sales</t>
  </si>
  <si>
    <t>Hazelnut Praline Bars</t>
  </si>
  <si>
    <t>TX00-04</t>
  </si>
  <si>
    <t>Malladi</t>
  </si>
  <si>
    <t>smalladi@gmpg.org</t>
  </si>
  <si>
    <t>Engineer</t>
  </si>
  <si>
    <t>Spicy Special Slims</t>
  </si>
  <si>
    <t>TX00-05</t>
  </si>
  <si>
    <t>Sarayu</t>
  </si>
  <si>
    <t>Ragunathan</t>
  </si>
  <si>
    <t>sragunathan2@nhs.uk</t>
  </si>
  <si>
    <t>Almond Raspberry Cluster</t>
  </si>
  <si>
    <t>TX00-06</t>
  </si>
  <si>
    <t>Vinanti</t>
  </si>
  <si>
    <t>Choudhari</t>
  </si>
  <si>
    <t>vchoudhari6@businessinsider.com</t>
  </si>
  <si>
    <t>Choco Coated Almonds</t>
  </si>
  <si>
    <t>TX00-07</t>
  </si>
  <si>
    <t>Parasuramudu</t>
  </si>
  <si>
    <t>Jamakayala</t>
  </si>
  <si>
    <t>pjamakayala@hhs.gov</t>
  </si>
  <si>
    <t>Professor</t>
  </si>
  <si>
    <t>Gingerbread Spiced Choco</t>
  </si>
  <si>
    <t>TX00-08</t>
  </si>
  <si>
    <t>Fullara</t>
  </si>
  <si>
    <t>Sushanti Mokate</t>
  </si>
  <si>
    <t>fsushanti.mokate8@cisco.com</t>
  </si>
  <si>
    <t>Mint Chip Choco</t>
  </si>
  <si>
    <t>TX00-09</t>
  </si>
  <si>
    <t>Hemavati</t>
  </si>
  <si>
    <t>Muthiah</t>
  </si>
  <si>
    <t>hmuthiah@theatlantic.com</t>
  </si>
  <si>
    <t>Orange Choco</t>
  </si>
  <si>
    <t>TX00-10</t>
  </si>
  <si>
    <t>Suman</t>
  </si>
  <si>
    <t>Katte</t>
  </si>
  <si>
    <t>skatte@flavors.me</t>
  </si>
  <si>
    <t>Espresso Almond Crunch</t>
  </si>
  <si>
    <t>TX00-11</t>
  </si>
  <si>
    <t>Raghuveer</t>
  </si>
  <si>
    <t>Yettugunna</t>
  </si>
  <si>
    <t>ryettugunna@reddit.com</t>
  </si>
  <si>
    <t>Tech Support</t>
  </si>
  <si>
    <t>Organic Choco Syrup</t>
  </si>
  <si>
    <t>TX00-12</t>
  </si>
  <si>
    <t>Chitrasen</t>
  </si>
  <si>
    <t>Laul</t>
  </si>
  <si>
    <t>claul9@multiply.com</t>
  </si>
  <si>
    <t>Praline-filled Bonbons</t>
  </si>
  <si>
    <t>TX00-13</t>
  </si>
  <si>
    <t>Indu</t>
  </si>
  <si>
    <t>Varada Sumedh</t>
  </si>
  <si>
    <t>ivarada.sumedh@stumbleupon.com</t>
  </si>
  <si>
    <t>Velvet Truffle Bites</t>
  </si>
  <si>
    <t>TX00-14</t>
  </si>
  <si>
    <t>Amlankusum</t>
  </si>
  <si>
    <t>Rajabhushan</t>
  </si>
  <si>
    <t>arajabhushan@yandex.ru</t>
  </si>
  <si>
    <t>TX00-15</t>
  </si>
  <si>
    <t>Narois</t>
  </si>
  <si>
    <t>Motiwala</t>
  </si>
  <si>
    <t>nmotiwala@oracle.com</t>
  </si>
  <si>
    <t>Finance Professional</t>
  </si>
  <si>
    <t>Caramel Stuffed Bars</t>
  </si>
  <si>
    <t>TX00-16</t>
  </si>
  <si>
    <t>Pratigya</t>
  </si>
  <si>
    <t>Rema</t>
  </si>
  <si>
    <t>prema@hubpages.com</t>
  </si>
  <si>
    <t>Accountant</t>
  </si>
  <si>
    <t>Lemon Poppyseed Zing</t>
  </si>
  <si>
    <t>TX00-17</t>
  </si>
  <si>
    <t>TX00-18</t>
  </si>
  <si>
    <t>Abhaya</t>
  </si>
  <si>
    <t>Priyavardhan</t>
  </si>
  <si>
    <t>apriyavardhan9@netvibes.com</t>
  </si>
  <si>
    <t>After Nines</t>
  </si>
  <si>
    <t>TX00-19</t>
  </si>
  <si>
    <t>Baruna</t>
  </si>
  <si>
    <t>Ogale</t>
  </si>
  <si>
    <t>bogale@gov.uk</t>
  </si>
  <si>
    <t>Doctor</t>
  </si>
  <si>
    <t>Baker's Choco Chips</t>
  </si>
  <si>
    <t>TX00-20</t>
  </si>
  <si>
    <t>Anjushri</t>
  </si>
  <si>
    <t>Chandiramani</t>
  </si>
  <si>
    <t>achandiramani3@theatlantic.com</t>
  </si>
  <si>
    <t>TX00-21</t>
  </si>
  <si>
    <t>Mardav</t>
  </si>
  <si>
    <t>Ramaswami</t>
  </si>
  <si>
    <t>mramaswami2@indiatimes.com</t>
  </si>
  <si>
    <t>White Choc</t>
  </si>
  <si>
    <t>TX00-22</t>
  </si>
  <si>
    <t>Madhumati</t>
  </si>
  <si>
    <t>Gazala Soumitra</t>
  </si>
  <si>
    <t>mgazala.soumitra4@domainmarket.com</t>
  </si>
  <si>
    <t>Sea Salted Toffee Choco</t>
  </si>
  <si>
    <t>TX00-23</t>
  </si>
  <si>
    <t>Bhuvan</t>
  </si>
  <si>
    <t>Pals</t>
  </si>
  <si>
    <t>bpals@theatlantic.com</t>
  </si>
  <si>
    <t>TX00-24</t>
  </si>
  <si>
    <t>85% Dark Bars</t>
  </si>
  <si>
    <t>TX00-25</t>
  </si>
  <si>
    <t>TX00-26</t>
  </si>
  <si>
    <t>Lalit</t>
  </si>
  <si>
    <t>Kothari</t>
  </si>
  <si>
    <t>lkothari@blogtalkradio.com</t>
  </si>
  <si>
    <t>TX00-27</t>
  </si>
  <si>
    <t>TX00-28</t>
  </si>
  <si>
    <t>Raspberry Choco</t>
  </si>
  <si>
    <t>TX00-29</t>
  </si>
  <si>
    <t>Kamalakshi</t>
  </si>
  <si>
    <t>Mukundan</t>
  </si>
  <si>
    <t>kmukundan7@netlog.com</t>
  </si>
  <si>
    <t>HR</t>
  </si>
  <si>
    <t>Choco Mint Medley</t>
  </si>
  <si>
    <t>TX00-30</t>
  </si>
  <si>
    <t>Nazeer</t>
  </si>
  <si>
    <t>Basha Mustafa</t>
  </si>
  <si>
    <t>nbasha.mustafa@prweb.com</t>
  </si>
  <si>
    <t>Fruit &amp; Nut Bars</t>
  </si>
  <si>
    <t>TX00-31</t>
  </si>
  <si>
    <t>Deepit</t>
  </si>
  <si>
    <t>Ranjana</t>
  </si>
  <si>
    <t>dranjana@360.cn</t>
  </si>
  <si>
    <t>Marzipan Delight</t>
  </si>
  <si>
    <t>TX00-32</t>
  </si>
  <si>
    <t>Ilesh</t>
  </si>
  <si>
    <t>Dasgupta</t>
  </si>
  <si>
    <t>idasgupta1@yolasite.com</t>
  </si>
  <si>
    <t>Milk Bars</t>
  </si>
  <si>
    <t>TX00-33</t>
  </si>
  <si>
    <t>Almond Butter Munch</t>
  </si>
  <si>
    <t>TX00-34</t>
  </si>
  <si>
    <t>Jaipal</t>
  </si>
  <si>
    <t>Potanapudi</t>
  </si>
  <si>
    <t>jpotanapudi7@usnews.com</t>
  </si>
  <si>
    <t>Dark Cherry Indulgence</t>
  </si>
  <si>
    <t>TX00-35</t>
  </si>
  <si>
    <t>Sukhdev</t>
  </si>
  <si>
    <t>Nageshwar</t>
  </si>
  <si>
    <t>snageshwar@ucla.edu</t>
  </si>
  <si>
    <t>Administrator</t>
  </si>
  <si>
    <t>Peanut Butter Cubes</t>
  </si>
  <si>
    <t>TX00-36</t>
  </si>
  <si>
    <t>Irish Cream Chocolate</t>
  </si>
  <si>
    <t>TX00-37</t>
  </si>
  <si>
    <t>Jagajeet</t>
  </si>
  <si>
    <t>Viraj</t>
  </si>
  <si>
    <t>jviraj@nba.com</t>
  </si>
  <si>
    <t>Smooth Silky Salty</t>
  </si>
  <si>
    <t>TX00-38</t>
  </si>
  <si>
    <t>Devrat</t>
  </si>
  <si>
    <t>Damarsingh</t>
  </si>
  <si>
    <t>ddamarsingh@cam.ac.uk</t>
  </si>
  <si>
    <t>Almond Choco</t>
  </si>
  <si>
    <t>TX00-39</t>
  </si>
  <si>
    <t>Asija</t>
  </si>
  <si>
    <t>Pothireddy</t>
  </si>
  <si>
    <t>apothireddy@psu.edu</t>
  </si>
  <si>
    <t>TX00-40</t>
  </si>
  <si>
    <t>Rushil</t>
  </si>
  <si>
    <t>Kripa</t>
  </si>
  <si>
    <t>rkripa1@narod.ru</t>
  </si>
  <si>
    <t>Eclairs</t>
  </si>
  <si>
    <t>TX00-41</t>
  </si>
  <si>
    <t>Karuna</t>
  </si>
  <si>
    <t>Pashupathy</t>
  </si>
  <si>
    <t>kpashupathy3@netlog.com</t>
  </si>
  <si>
    <t>TX00-42</t>
  </si>
  <si>
    <t>Makshi</t>
  </si>
  <si>
    <t>Vinutha</t>
  </si>
  <si>
    <t>mvinutha6@samsung.com</t>
  </si>
  <si>
    <t>Salted Caramel Swirls</t>
  </si>
  <si>
    <t>TX00-43</t>
  </si>
  <si>
    <t>Shulabh</t>
  </si>
  <si>
    <t>Qutub Sundaramoorthy</t>
  </si>
  <si>
    <t>squtub.sundaramoorthy@wikispaces.com</t>
  </si>
  <si>
    <t>TX00-44</t>
  </si>
  <si>
    <t>Dark Chocolate Mousse</t>
  </si>
  <si>
    <t>TX00-45</t>
  </si>
  <si>
    <t>TX00-46</t>
  </si>
  <si>
    <t>Shevantilal</t>
  </si>
  <si>
    <t>Muppala</t>
  </si>
  <si>
    <t>smuppala@stumbleupon.com</t>
  </si>
  <si>
    <t>TX00-47</t>
  </si>
  <si>
    <t>Mayur</t>
  </si>
  <si>
    <t>Kousika</t>
  </si>
  <si>
    <t>mkousika4@typepad.com</t>
  </si>
  <si>
    <t>Operator</t>
  </si>
  <si>
    <t>Manuka Honey Choco</t>
  </si>
  <si>
    <t>TX00-48</t>
  </si>
  <si>
    <t>Chandana</t>
  </si>
  <si>
    <t>Sannidhi Surnilla</t>
  </si>
  <si>
    <t>csannidhi.surnilla@nydailynews.com</t>
  </si>
  <si>
    <t>Nutty Bliss Bars</t>
  </si>
  <si>
    <t>TX00-49</t>
  </si>
  <si>
    <t>Rupak</t>
  </si>
  <si>
    <t>Mehra</t>
  </si>
  <si>
    <t>rmehra@1und1.de</t>
  </si>
  <si>
    <t>Smooth Sliky Salty</t>
  </si>
  <si>
    <t>TX00-50</t>
  </si>
  <si>
    <t>Vasavi</t>
  </si>
  <si>
    <t>Veeravasarapu</t>
  </si>
  <si>
    <t>vveeravasarapu4@ibm.com</t>
  </si>
  <si>
    <t>Statistician</t>
  </si>
  <si>
    <t>Espresso Bean Blast</t>
  </si>
  <si>
    <t>TX00-51</t>
  </si>
  <si>
    <t>Lalitchandra</t>
  </si>
  <si>
    <t>Vadali</t>
  </si>
  <si>
    <t>lvadali@alibaba.com</t>
  </si>
  <si>
    <t>Chili Cinnamon Twist</t>
  </si>
  <si>
    <t>TX00-52</t>
  </si>
  <si>
    <t>Sawini</t>
  </si>
  <si>
    <t>Chandan</t>
  </si>
  <si>
    <t>schandan@dot.gov</t>
  </si>
  <si>
    <t>TX00-53</t>
  </si>
  <si>
    <t>TX00-54</t>
  </si>
  <si>
    <t>TX00-55</t>
  </si>
  <si>
    <t>Geena</t>
  </si>
  <si>
    <t>Raghavanpillai</t>
  </si>
  <si>
    <t>graghavanpillai6@g.co</t>
  </si>
  <si>
    <t>TX00-56</t>
  </si>
  <si>
    <t>Gopal</t>
  </si>
  <si>
    <t>Venkata</t>
  </si>
  <si>
    <t>gvenkata@flavors.me</t>
  </si>
  <si>
    <t>Blueberry Cheesecake Bliss</t>
  </si>
  <si>
    <t>TX00-57</t>
  </si>
  <si>
    <t>Kantimoy</t>
  </si>
  <si>
    <t>Pritish</t>
  </si>
  <si>
    <t>kpritish5@jigsy.com</t>
  </si>
  <si>
    <t>TX00-58</t>
  </si>
  <si>
    <t>Sravanthi</t>
  </si>
  <si>
    <t>Chalaki</t>
  </si>
  <si>
    <t>schalaki@artisteer.com</t>
  </si>
  <si>
    <t>Pistachio Rose Fusion</t>
  </si>
  <si>
    <t>TX00-59</t>
  </si>
  <si>
    <t>Sreenivasa</t>
  </si>
  <si>
    <t>Naik Gudiwada</t>
  </si>
  <si>
    <t>snaik.gudiwada3@indiatimes.com</t>
  </si>
  <si>
    <t>TX00-60</t>
  </si>
  <si>
    <t>Venkat</t>
  </si>
  <si>
    <t>Kodi</t>
  </si>
  <si>
    <t>vkodi4@reference.com</t>
  </si>
  <si>
    <t>VP</t>
  </si>
  <si>
    <t>TX00-61</t>
  </si>
  <si>
    <t>TX00-62</t>
  </si>
  <si>
    <t>Kaishori</t>
  </si>
  <si>
    <t>Harathi Kateel</t>
  </si>
  <si>
    <t>kharathi.kateel@home.pl</t>
  </si>
  <si>
    <t>TX00-63</t>
  </si>
  <si>
    <t>Gumwant</t>
  </si>
  <si>
    <t>Veera</t>
  </si>
  <si>
    <t>gveera9@tuttocitta.it</t>
  </si>
  <si>
    <t>TX00-64</t>
  </si>
  <si>
    <t>Upendra</t>
  </si>
  <si>
    <t>Swati</t>
  </si>
  <si>
    <t>uswati@naver.com</t>
  </si>
  <si>
    <t>99% Dark &amp; Pure</t>
  </si>
  <si>
    <t>TX00-65</t>
  </si>
  <si>
    <t>Sahas</t>
  </si>
  <si>
    <t>Sanabhi Shrikant</t>
  </si>
  <si>
    <t>ssanabhi.shrikant3@ted.com</t>
  </si>
  <si>
    <t>TX00-66</t>
  </si>
  <si>
    <t>Mahindra</t>
  </si>
  <si>
    <t>Sreedharan</t>
  </si>
  <si>
    <t>msreedharan1@tinypic.com</t>
  </si>
  <si>
    <t>TX00-67</t>
  </si>
  <si>
    <t>TX00-68</t>
  </si>
  <si>
    <t>TX00-69</t>
  </si>
  <si>
    <t>TX00-70</t>
  </si>
  <si>
    <t>TX00-71</t>
  </si>
  <si>
    <t>Pragya</t>
  </si>
  <si>
    <t>Nilufar</t>
  </si>
  <si>
    <t>pnilufar4@comsenz.com</t>
  </si>
  <si>
    <t>TX00-72</t>
  </si>
  <si>
    <t>70% Dark Bites</t>
  </si>
  <si>
    <t>TX00-73</t>
  </si>
  <si>
    <t>Coconut Almond Joy</t>
  </si>
  <si>
    <t>TX00-74</t>
  </si>
  <si>
    <t>TX00-75</t>
  </si>
  <si>
    <t>Marshmallow Caramel Crunch</t>
  </si>
  <si>
    <t>TX00-76</t>
  </si>
  <si>
    <t>TX00-77</t>
  </si>
  <si>
    <t>Sameer</t>
  </si>
  <si>
    <t>Shashank Sapra</t>
  </si>
  <si>
    <t>sshashank.sapra@oaic.gov.au</t>
  </si>
  <si>
    <t>TX00-78</t>
  </si>
  <si>
    <t>TX00-79</t>
  </si>
  <si>
    <t>Shattesh</t>
  </si>
  <si>
    <t>Utpat</t>
  </si>
  <si>
    <t>sutpat1@github.com</t>
  </si>
  <si>
    <t>TX00-80</t>
  </si>
  <si>
    <t>Amal</t>
  </si>
  <si>
    <t>Nimesh</t>
  </si>
  <si>
    <t>animesh@spotify.com</t>
  </si>
  <si>
    <t>TX00-81</t>
  </si>
  <si>
    <t>Duran</t>
  </si>
  <si>
    <t>Appala</t>
  </si>
  <si>
    <t>dappala@elegantthemes.com</t>
  </si>
  <si>
    <t>TX00-82</t>
  </si>
  <si>
    <t>Orange Zest Delight</t>
  </si>
  <si>
    <t>TX00-83</t>
  </si>
  <si>
    <t>TX00-84</t>
  </si>
  <si>
    <t>TX00-85</t>
  </si>
  <si>
    <t>TX00-86</t>
  </si>
  <si>
    <t>Sarojini</t>
  </si>
  <si>
    <t>Naueshwara</t>
  </si>
  <si>
    <t>snaueshwara@netscape.com</t>
  </si>
  <si>
    <t>TX00-87</t>
  </si>
  <si>
    <t>TX00-88</t>
  </si>
  <si>
    <t>TX00-89</t>
  </si>
  <si>
    <t>Devasree</t>
  </si>
  <si>
    <t>Fullara Saurin</t>
  </si>
  <si>
    <t>dfullara.saurin3@prnewswire.com</t>
  </si>
  <si>
    <t>TX00-90</t>
  </si>
  <si>
    <t>TX00-91</t>
  </si>
  <si>
    <t>TX00-92</t>
  </si>
  <si>
    <t>TX00-93</t>
  </si>
  <si>
    <t>Passionfruit Caramel Bars</t>
  </si>
  <si>
    <t>TX00-94</t>
  </si>
  <si>
    <t>Honeycomb Crunch Choco</t>
  </si>
  <si>
    <t>TX00-95</t>
  </si>
  <si>
    <t>TX00-96</t>
  </si>
  <si>
    <t>TX00-97</t>
  </si>
  <si>
    <t>TX00-98</t>
  </si>
  <si>
    <t>Jaishree</t>
  </si>
  <si>
    <t>Atasi Yavatkar</t>
  </si>
  <si>
    <t>jatasi.yavatkar7@theglobeandmail.com</t>
  </si>
  <si>
    <t>TX00-99</t>
  </si>
  <si>
    <t>TX01-00</t>
  </si>
  <si>
    <t>TX01-01</t>
  </si>
  <si>
    <t>Rameshwari</t>
  </si>
  <si>
    <t>Chikodi</t>
  </si>
  <si>
    <t>rchikodi6@histats.com</t>
  </si>
  <si>
    <t>Bourbon Vanilla Infusion</t>
  </si>
  <si>
    <t>TX01-02</t>
  </si>
  <si>
    <t>Vasu</t>
  </si>
  <si>
    <t>Nandin</t>
  </si>
  <si>
    <t>vnandin@zimbio.com</t>
  </si>
  <si>
    <t>TX01-03</t>
  </si>
  <si>
    <t>TX01-04</t>
  </si>
  <si>
    <t>Oorjit</t>
  </si>
  <si>
    <t>Nandanavanam</t>
  </si>
  <si>
    <t>onandanavanam@ustream.tv</t>
  </si>
  <si>
    <t>TX01-05</t>
  </si>
  <si>
    <t>TX01-06</t>
  </si>
  <si>
    <t>TX01-07</t>
  </si>
  <si>
    <t>Tarala</t>
  </si>
  <si>
    <t>Vishaal</t>
  </si>
  <si>
    <t>tvishaal@mozilla.org</t>
  </si>
  <si>
    <t>Pistachio Cardamom Crunch</t>
  </si>
  <si>
    <t>TX01-08</t>
  </si>
  <si>
    <t>Shubhra</t>
  </si>
  <si>
    <t>Potla</t>
  </si>
  <si>
    <t>spotla1@1688.com</t>
  </si>
  <si>
    <t>TX01-09</t>
  </si>
  <si>
    <t>TX01-10</t>
  </si>
  <si>
    <t>Kulbhushan</t>
  </si>
  <si>
    <t>Moorthy</t>
  </si>
  <si>
    <t>kmoorthy6@cmu.edu</t>
  </si>
  <si>
    <t>TX01-11</t>
  </si>
  <si>
    <t>Kevalkumar</t>
  </si>
  <si>
    <t>Solanki</t>
  </si>
  <si>
    <t>ksolanki5@who.int</t>
  </si>
  <si>
    <t>TX01-12</t>
  </si>
  <si>
    <t>TX01-13</t>
  </si>
  <si>
    <t>TX01-14</t>
  </si>
  <si>
    <t>TX01-15</t>
  </si>
  <si>
    <t>Ayog</t>
  </si>
  <si>
    <t>Chakrabarti</t>
  </si>
  <si>
    <t>achakrabarti@elegantthemes.com</t>
  </si>
  <si>
    <t>TX01-16</t>
  </si>
  <si>
    <t>TX01-17</t>
  </si>
  <si>
    <t>Peanut Brittle Bliss</t>
  </si>
  <si>
    <t>TX01-18</t>
  </si>
  <si>
    <t>TX01-19</t>
  </si>
  <si>
    <t>TX01-20</t>
  </si>
  <si>
    <t>TX01-21</t>
  </si>
  <si>
    <t>TX01-22</t>
  </si>
  <si>
    <t>TX01-23</t>
  </si>
  <si>
    <t>TX01-24</t>
  </si>
  <si>
    <t>Maple Walnut Delight</t>
  </si>
  <si>
    <t>TX01-25</t>
  </si>
  <si>
    <t>TX01-26</t>
  </si>
  <si>
    <t>TX01-27</t>
  </si>
  <si>
    <t>TX01-28</t>
  </si>
  <si>
    <t>TX01-29</t>
  </si>
  <si>
    <t>TX01-30</t>
  </si>
  <si>
    <t>Ramalingam</t>
  </si>
  <si>
    <t>Kothapeta</t>
  </si>
  <si>
    <t>rkothapeta@nbcnews.com</t>
  </si>
  <si>
    <t>TX01-31</t>
  </si>
  <si>
    <t>Agrata</t>
  </si>
  <si>
    <t>Rajarama</t>
  </si>
  <si>
    <t>arajarama9@360.cn</t>
  </si>
  <si>
    <t>TX01-32</t>
  </si>
  <si>
    <t>TX01-33</t>
  </si>
  <si>
    <t>TX01-34</t>
  </si>
  <si>
    <t>Coconut Rum Rendezvous</t>
  </si>
  <si>
    <t>TX01-35</t>
  </si>
  <si>
    <t>Piyali</t>
  </si>
  <si>
    <t>Mahanthapa</t>
  </si>
  <si>
    <t>pmahanthapa9@senate.gov</t>
  </si>
  <si>
    <t>TX01-36</t>
  </si>
  <si>
    <t>TX01-37</t>
  </si>
  <si>
    <t>Raspberry Cheesecake Swirl</t>
  </si>
  <si>
    <t>TX01-38</t>
  </si>
  <si>
    <t>Anumati</t>
  </si>
  <si>
    <t>Shyamari Meherhomji</t>
  </si>
  <si>
    <t>ashyamari.meherhomji@apple.com</t>
  </si>
  <si>
    <t>TX01-39</t>
  </si>
  <si>
    <t>Sartaj</t>
  </si>
  <si>
    <t>Probal</t>
  </si>
  <si>
    <t>sprobal@webnode.com</t>
  </si>
  <si>
    <t>TX01-40</t>
  </si>
  <si>
    <t>TX01-41</t>
  </si>
  <si>
    <t>TX01-42</t>
  </si>
  <si>
    <t>TX01-43</t>
  </si>
  <si>
    <t>50% Dark Bites</t>
  </si>
  <si>
    <t>TX01-44</t>
  </si>
  <si>
    <t>TX01-45</t>
  </si>
  <si>
    <t>TX01-46</t>
  </si>
  <si>
    <t>Mango Tango Delight</t>
  </si>
  <si>
    <t>TX01-47</t>
  </si>
  <si>
    <t>Ranajay</t>
  </si>
  <si>
    <t>Kailashnath Richa</t>
  </si>
  <si>
    <t>rkailashnath.richa8@wisc.edu</t>
  </si>
  <si>
    <t>TX01-48</t>
  </si>
  <si>
    <t>TX01-49</t>
  </si>
  <si>
    <t>TX01-50</t>
  </si>
  <si>
    <t>Kunja</t>
  </si>
  <si>
    <t>Prashanta Vibha</t>
  </si>
  <si>
    <t>kprashanta.vibha6@samsung.com</t>
  </si>
  <si>
    <t>TX01-51</t>
  </si>
  <si>
    <t>TX01-52</t>
  </si>
  <si>
    <t>TX01-53</t>
  </si>
  <si>
    <t>TX01-54</t>
  </si>
  <si>
    <t>TX01-55</t>
  </si>
  <si>
    <t>TX01-56</t>
  </si>
  <si>
    <t>TX01-57</t>
  </si>
  <si>
    <t>TX01-58</t>
  </si>
  <si>
    <t>TX01-59</t>
  </si>
  <si>
    <t>TX01-60</t>
  </si>
  <si>
    <t>TX01-61</t>
  </si>
  <si>
    <t>TX01-62</t>
  </si>
  <si>
    <t>Godavari</t>
  </si>
  <si>
    <t>Veena</t>
  </si>
  <si>
    <t>gveena3@pcworld.com</t>
  </si>
  <si>
    <t>TX01-63</t>
  </si>
  <si>
    <t>TX01-64</t>
  </si>
  <si>
    <t>TX01-65</t>
  </si>
  <si>
    <t>TX01-66</t>
  </si>
  <si>
    <t>Cherry Almond Fudge</t>
  </si>
  <si>
    <t>TX01-67</t>
  </si>
  <si>
    <t>TX01-68</t>
  </si>
  <si>
    <t>TX01-69</t>
  </si>
  <si>
    <t>TX01-70</t>
  </si>
  <si>
    <t>TX01-71</t>
  </si>
  <si>
    <t>TX01-72</t>
  </si>
  <si>
    <t>TX01-73</t>
  </si>
  <si>
    <t>TX01-74</t>
  </si>
  <si>
    <t>TX01-75</t>
  </si>
  <si>
    <t>TX01-76</t>
  </si>
  <si>
    <t>TX01-77</t>
  </si>
  <si>
    <t>TX01-78</t>
  </si>
  <si>
    <t>TX01-79</t>
  </si>
  <si>
    <t>TX01-80</t>
  </si>
  <si>
    <t>Devsena</t>
  </si>
  <si>
    <t>Veluvalapalli</t>
  </si>
  <si>
    <t>dveluvalapalli@adobe.com</t>
  </si>
  <si>
    <t>TX01-81</t>
  </si>
  <si>
    <t>TX01-82</t>
  </si>
  <si>
    <t>TX01-83</t>
  </si>
  <si>
    <t>Butterscotch Dream Choco</t>
  </si>
  <si>
    <t>TX01-84</t>
  </si>
  <si>
    <t>TX01-85</t>
  </si>
  <si>
    <t>TX01-86</t>
  </si>
  <si>
    <t>TX01-87</t>
  </si>
  <si>
    <t>TX01-88</t>
  </si>
  <si>
    <t>TX01-89</t>
  </si>
  <si>
    <t>Lavender Honey Ganache</t>
  </si>
  <si>
    <t>TX01-90</t>
  </si>
  <si>
    <t>TX01-91</t>
  </si>
  <si>
    <t>TX01-92</t>
  </si>
  <si>
    <t>TX01-93</t>
  </si>
  <si>
    <t>TX01-94</t>
  </si>
  <si>
    <t>TX01-95</t>
  </si>
  <si>
    <t>TX01-96</t>
  </si>
  <si>
    <t>TX01-97</t>
  </si>
  <si>
    <t>TX01-98</t>
  </si>
  <si>
    <t>TX01-99</t>
  </si>
  <si>
    <t>TX02-00</t>
  </si>
  <si>
    <t>TX02-01</t>
  </si>
  <si>
    <t>TX02-02</t>
  </si>
  <si>
    <t>TX02-03</t>
  </si>
  <si>
    <t>TX02-04</t>
  </si>
  <si>
    <t>TX02-05</t>
  </si>
  <si>
    <t>TX02-06</t>
  </si>
  <si>
    <t>TX02-07</t>
  </si>
  <si>
    <t>TX02-08</t>
  </si>
  <si>
    <t>TX02-09</t>
  </si>
  <si>
    <t>TX02-10</t>
  </si>
  <si>
    <t>TX02-11</t>
  </si>
  <si>
    <t>TX02-12</t>
  </si>
  <si>
    <t>TX02-13</t>
  </si>
  <si>
    <t>TX02-14</t>
  </si>
  <si>
    <t>TX02-15</t>
  </si>
  <si>
    <t>Hridaynath</t>
  </si>
  <si>
    <t>Tendulkar</t>
  </si>
  <si>
    <t>htendulkar9@php.net</t>
  </si>
  <si>
    <t>TX02-16</t>
  </si>
  <si>
    <t>TX02-17</t>
  </si>
  <si>
    <t>TX02-18</t>
  </si>
  <si>
    <t>TX02-19</t>
  </si>
  <si>
    <t>TX02-20</t>
  </si>
  <si>
    <t>TX02-21</t>
  </si>
  <si>
    <t>TX02-22</t>
  </si>
  <si>
    <t>TX02-23</t>
  </si>
  <si>
    <t>TX02-24</t>
  </si>
  <si>
    <t>Tiramisu Truffle Bites</t>
  </si>
  <si>
    <t>TX02-25</t>
  </si>
  <si>
    <t>TX02-26</t>
  </si>
  <si>
    <t>TX02-27</t>
  </si>
  <si>
    <t>TX02-28</t>
  </si>
  <si>
    <t>TX02-29</t>
  </si>
  <si>
    <t>TX02-30</t>
  </si>
  <si>
    <t>TX02-31</t>
  </si>
  <si>
    <t>TX02-32</t>
  </si>
  <si>
    <t>TX02-33</t>
  </si>
  <si>
    <t>TX02-34</t>
  </si>
  <si>
    <t>TX02-35</t>
  </si>
  <si>
    <t>TX02-36</t>
  </si>
  <si>
    <t>TX02-37</t>
  </si>
  <si>
    <t>Cappuccino Filled Choco</t>
  </si>
  <si>
    <t>TX02-38</t>
  </si>
  <si>
    <t>TX02-39</t>
  </si>
  <si>
    <t>Shiuli</t>
  </si>
  <si>
    <t>Sapna</t>
  </si>
  <si>
    <t>ssapna@slate.com</t>
  </si>
  <si>
    <t>TX02-40</t>
  </si>
  <si>
    <t>Prasanna</t>
  </si>
  <si>
    <t>Lakshmi Payasam</t>
  </si>
  <si>
    <t>plakshmi.payasam2@apache.org</t>
  </si>
  <si>
    <t>TX02-41</t>
  </si>
  <si>
    <t>TX02-42</t>
  </si>
  <si>
    <t>TX02-43</t>
  </si>
  <si>
    <t>TX02-44</t>
  </si>
  <si>
    <t>TX02-45</t>
  </si>
  <si>
    <t>Ramnath</t>
  </si>
  <si>
    <t>Ravuri</t>
  </si>
  <si>
    <t>rravuri8@blinklist.com</t>
  </si>
  <si>
    <t>TX02-46</t>
  </si>
  <si>
    <t>TX02-47</t>
  </si>
  <si>
    <t>TX02-48</t>
  </si>
  <si>
    <t>TX02-49</t>
  </si>
  <si>
    <t>TX02-50</t>
  </si>
  <si>
    <t>TX02-51</t>
  </si>
  <si>
    <t>TX02-52</t>
  </si>
  <si>
    <t>TX02-53</t>
  </si>
  <si>
    <t>TX02-54</t>
  </si>
  <si>
    <t>TX02-55</t>
  </si>
  <si>
    <t>TX02-56</t>
  </si>
  <si>
    <t>TX02-57</t>
  </si>
  <si>
    <t>TX02-58</t>
  </si>
  <si>
    <t>TX02-59</t>
  </si>
  <si>
    <t>Sahaj</t>
  </si>
  <si>
    <t>Jonnalagadda</t>
  </si>
  <si>
    <t>sjonnalagadda@globo.com</t>
  </si>
  <si>
    <t>TX02-60</t>
  </si>
  <si>
    <t>TX02-61</t>
  </si>
  <si>
    <t>TX02-62</t>
  </si>
  <si>
    <t>TX02-63</t>
  </si>
  <si>
    <t>TX02-64</t>
  </si>
  <si>
    <t>TX02-65</t>
  </si>
  <si>
    <t>TX02-66</t>
  </si>
  <si>
    <t>TX02-67</t>
  </si>
  <si>
    <t>TX02-68</t>
  </si>
  <si>
    <t>TX02-69</t>
  </si>
  <si>
    <t>TX02-70</t>
  </si>
  <si>
    <t>TX02-71</t>
  </si>
  <si>
    <t>TX02-72</t>
  </si>
  <si>
    <t>John</t>
  </si>
  <si>
    <t>Joseph</t>
  </si>
  <si>
    <t>jjoseph@bluehost.com</t>
  </si>
  <si>
    <t>TX02-73</t>
  </si>
  <si>
    <t>TX02-74</t>
  </si>
  <si>
    <t>TX02-75</t>
  </si>
  <si>
    <t>TX02-76</t>
  </si>
  <si>
    <t>TX02-77</t>
  </si>
  <si>
    <t>TX02-78</t>
  </si>
  <si>
    <t>TX02-79</t>
  </si>
  <si>
    <t>TX02-80</t>
  </si>
  <si>
    <t>TX02-81</t>
  </si>
  <si>
    <t>TX02-82</t>
  </si>
  <si>
    <t>TX02-83</t>
  </si>
  <si>
    <t>TX02-84</t>
  </si>
  <si>
    <t>TX02-85</t>
  </si>
  <si>
    <t>TX02-86</t>
  </si>
  <si>
    <t>TX02-87</t>
  </si>
  <si>
    <t>TX02-88</t>
  </si>
  <si>
    <t>TX02-89</t>
  </si>
  <si>
    <t>TX02-90</t>
  </si>
  <si>
    <t>TX02-91</t>
  </si>
  <si>
    <t>TX02-92</t>
  </si>
  <si>
    <t>Dinanath</t>
  </si>
  <si>
    <t>Simhambhatla</t>
  </si>
  <si>
    <t>dsimhambhatla@amazon.co.jp</t>
  </si>
  <si>
    <t>TX02-93</t>
  </si>
  <si>
    <t>TX02-94</t>
  </si>
  <si>
    <t>TX02-95</t>
  </si>
  <si>
    <t>TX02-96</t>
  </si>
  <si>
    <t>TX02-97</t>
  </si>
  <si>
    <t>Krittika</t>
  </si>
  <si>
    <t>Gaekwad</t>
  </si>
  <si>
    <t>kgaekwad@mit.edu</t>
  </si>
  <si>
    <t>TX02-98</t>
  </si>
  <si>
    <t>TX02-99</t>
  </si>
  <si>
    <t>Choco Hazelnut Swirl</t>
  </si>
  <si>
    <t>TX03-00</t>
  </si>
  <si>
    <t>TX03-01</t>
  </si>
  <si>
    <t>TX03-02</t>
  </si>
  <si>
    <t>TX03-03</t>
  </si>
  <si>
    <t>TX03-04</t>
  </si>
  <si>
    <t>TX03-05</t>
  </si>
  <si>
    <t>Gowri</t>
  </si>
  <si>
    <t>Sankar Chakrala</t>
  </si>
  <si>
    <t>gsankar.chakrala@spotify.com</t>
  </si>
  <si>
    <t>TX03-06</t>
  </si>
  <si>
    <t>TX03-07</t>
  </si>
  <si>
    <t>TX03-08</t>
  </si>
  <si>
    <t>TX03-09</t>
  </si>
  <si>
    <t>TX03-10</t>
  </si>
  <si>
    <t>TX03-11</t>
  </si>
  <si>
    <t>TX03-12</t>
  </si>
  <si>
    <t>TX03-13</t>
  </si>
  <si>
    <t>TX03-14</t>
  </si>
  <si>
    <t>TX03-15</t>
  </si>
  <si>
    <t>TX03-16</t>
  </si>
  <si>
    <t>TX03-17</t>
  </si>
  <si>
    <t>TX03-18</t>
  </si>
  <si>
    <t>TX03-19</t>
  </si>
  <si>
    <t>TX03-20</t>
  </si>
  <si>
    <t>TX03-21</t>
  </si>
  <si>
    <t>TX03-22</t>
  </si>
  <si>
    <t>TX03-23</t>
  </si>
  <si>
    <t>TX03-24</t>
  </si>
  <si>
    <t>TX03-25</t>
  </si>
  <si>
    <t>Krishnakanta</t>
  </si>
  <si>
    <t>Vellanki</t>
  </si>
  <si>
    <t>kvellanki2@netscape.com</t>
  </si>
  <si>
    <t>TX03-26</t>
  </si>
  <si>
    <t>TX03-27</t>
  </si>
  <si>
    <t>TX03-28</t>
  </si>
  <si>
    <t>TX03-29</t>
  </si>
  <si>
    <t>TX03-30</t>
  </si>
  <si>
    <t>TX03-31</t>
  </si>
  <si>
    <t>TX03-32</t>
  </si>
  <si>
    <t>TX03-33</t>
  </si>
  <si>
    <t>TX03-34</t>
  </si>
  <si>
    <t>TX03-35</t>
  </si>
  <si>
    <t>TX03-36</t>
  </si>
  <si>
    <t>TX03-37</t>
  </si>
  <si>
    <t>TX03-38</t>
  </si>
  <si>
    <t>TX03-39</t>
  </si>
  <si>
    <t>TX03-40</t>
  </si>
  <si>
    <t>TX03-41</t>
  </si>
  <si>
    <t>TX03-42</t>
  </si>
  <si>
    <t>TX03-43</t>
  </si>
  <si>
    <t>TX03-44</t>
  </si>
  <si>
    <t>TX03-45</t>
  </si>
  <si>
    <t>TX03-46</t>
  </si>
  <si>
    <t>TX03-47</t>
  </si>
  <si>
    <t>TX03-48</t>
  </si>
  <si>
    <t>TX03-49</t>
  </si>
  <si>
    <t>TX03-50</t>
  </si>
  <si>
    <t>TX03-51</t>
  </si>
  <si>
    <t>TX03-52</t>
  </si>
  <si>
    <t>TX03-53</t>
  </si>
  <si>
    <t>TX03-54</t>
  </si>
  <si>
    <t>TX03-55</t>
  </si>
  <si>
    <t>TX03-56</t>
  </si>
  <si>
    <t>TX03-57</t>
  </si>
  <si>
    <t>TX03-58</t>
  </si>
  <si>
    <t>TX03-59</t>
  </si>
  <si>
    <t>Suchira</t>
  </si>
  <si>
    <t>Bhanupriya Tapti</t>
  </si>
  <si>
    <t>sbhanupriya.tapti3@trellian.com</t>
  </si>
  <si>
    <t>TX03-60</t>
  </si>
  <si>
    <t>TX03-61</t>
  </si>
  <si>
    <t>TX03-62</t>
  </si>
  <si>
    <t>TX03-63</t>
  </si>
  <si>
    <t>TX03-64</t>
  </si>
  <si>
    <t>TX03-65</t>
  </si>
  <si>
    <t>TX03-66</t>
  </si>
  <si>
    <t>TX03-67</t>
  </si>
  <si>
    <t>TX03-68</t>
  </si>
  <si>
    <t>TX03-69</t>
  </si>
  <si>
    <t>TX03-70</t>
  </si>
  <si>
    <t>TX03-71</t>
  </si>
  <si>
    <t>TX03-72</t>
  </si>
  <si>
    <t>TX03-73</t>
  </si>
  <si>
    <t>TX03-74</t>
  </si>
  <si>
    <t>TX03-75</t>
  </si>
  <si>
    <t>TX03-76</t>
  </si>
  <si>
    <t>TX03-77</t>
  </si>
  <si>
    <t>TX03-78</t>
  </si>
  <si>
    <t>TX03-79</t>
  </si>
  <si>
    <t>TX03-80</t>
  </si>
  <si>
    <t>TX03-81</t>
  </si>
  <si>
    <t>TX03-82</t>
  </si>
  <si>
    <t>Vanmala</t>
  </si>
  <si>
    <t>Shriharsha</t>
  </si>
  <si>
    <t>vshriharsha@infoseek.co.jp</t>
  </si>
  <si>
    <t>TX03-83</t>
  </si>
  <si>
    <t>TX03-84</t>
  </si>
  <si>
    <t>TX03-85</t>
  </si>
  <si>
    <t>TX03-86</t>
  </si>
  <si>
    <t>TX03-87</t>
  </si>
  <si>
    <t>TX03-88</t>
  </si>
  <si>
    <t>TX03-89</t>
  </si>
  <si>
    <t>TX03-90</t>
  </si>
  <si>
    <t>TX03-91</t>
  </si>
  <si>
    <t>TX03-92</t>
  </si>
  <si>
    <t>TX03-93</t>
  </si>
  <si>
    <t>TX03-94</t>
  </si>
  <si>
    <t>TX03-95</t>
  </si>
  <si>
    <t>TX03-96</t>
  </si>
  <si>
    <t>TX03-97</t>
  </si>
  <si>
    <t>TX03-98</t>
  </si>
  <si>
    <t>TX03-99</t>
  </si>
  <si>
    <t>TX04-00</t>
  </si>
  <si>
    <t>TX04-01</t>
  </si>
  <si>
    <t>TX04-02</t>
  </si>
  <si>
    <t>TX04-03</t>
  </si>
  <si>
    <t>TX04-04</t>
  </si>
  <si>
    <t>TX04-05</t>
  </si>
  <si>
    <t>TX04-06</t>
  </si>
  <si>
    <t>TX04-07</t>
  </si>
  <si>
    <t>TX04-08</t>
  </si>
  <si>
    <t>TX04-09</t>
  </si>
  <si>
    <t>TX04-10</t>
  </si>
  <si>
    <t>TX04-11</t>
  </si>
  <si>
    <t>TX04-12</t>
  </si>
  <si>
    <t>TX04-13</t>
  </si>
  <si>
    <t>TX04-14</t>
  </si>
  <si>
    <t>TX04-15</t>
  </si>
  <si>
    <t>TX04-16</t>
  </si>
  <si>
    <t>TX04-17</t>
  </si>
  <si>
    <t>TX04-18</t>
  </si>
  <si>
    <t>TX04-19</t>
  </si>
  <si>
    <t>TX04-20</t>
  </si>
  <si>
    <t>TX04-21</t>
  </si>
  <si>
    <t>TX04-22</t>
  </si>
  <si>
    <t>TX04-23</t>
  </si>
  <si>
    <t>TX04-24</t>
  </si>
  <si>
    <t>TX04-25</t>
  </si>
  <si>
    <t>TX04-26</t>
  </si>
  <si>
    <t>TX04-27</t>
  </si>
  <si>
    <t>TX04-28</t>
  </si>
  <si>
    <t>TX04-29</t>
  </si>
  <si>
    <t>TX04-30</t>
  </si>
  <si>
    <t>TX04-31</t>
  </si>
  <si>
    <t>TX04-32</t>
  </si>
  <si>
    <t>TX04-33</t>
  </si>
  <si>
    <t>TX04-34</t>
  </si>
  <si>
    <t>TX04-35</t>
  </si>
  <si>
    <t>TX04-36</t>
  </si>
  <si>
    <t>TX04-37</t>
  </si>
  <si>
    <t>TX04-38</t>
  </si>
  <si>
    <t>TX04-39</t>
  </si>
  <si>
    <t>TX04-40</t>
  </si>
  <si>
    <t>TX04-41</t>
  </si>
  <si>
    <t>TX04-42</t>
  </si>
  <si>
    <t>TX04-43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</si>
</sst>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₹-44A]#,##0"/>
    <numFmt numFmtId="166" formatCode="[$₹-446]\ #,##0"/>
    <numFmt numFmtId="167" formatCode="[$₹-44C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0">
    <dxf>
      <numFmt numFmtId="0" formatCode="General"/>
      <alignment horizontal="center" vertical="bottom" textRotation="0" wrapText="0" indent="0" justifyLastLine="0" shrinkToFit="0" readingOrder="0"/>
    </dxf>
    <dxf>
      <numFmt numFmtId="165" formatCode="[$₹-44A]#,##0"/>
      <alignment horizontal="center" vertical="bottom" textRotation="0" wrapText="0" indent="0" justifyLastLine="0" shrinkToFit="0" readingOrder="0"/>
    </dxf>
    <dxf>
      <numFmt numFmtId="168" formatCode="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[$₹-446]\ #,##0"/>
    </dxf>
    <dxf>
      <numFmt numFmtId="167" formatCode="[$₹-44C]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microsoft.com/office/2007/relationships/slicerCache" Target="slicerCaches/slicerCache1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pivotCacheDefinition" Target="pivotCache/pivotCacheDefinition1.xml" /><Relationship Id="rId11" Type="http://schemas.openxmlformats.org/officeDocument/2006/relationships/sheetMetadata" Target="metadata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table'!$A$4:$B$471</c:f>
              <c:multiLvlStrCache>
                <c:ptCount val="382"/>
                <c:lvl>
                  <c:pt idx="3">
                    <c:v>35</c:v>
                  </c:pt>
                  <c:pt idx="4">
                    <c:v>80</c:v>
                  </c:pt>
                  <c:pt idx="5">
                    <c:v>275</c:v>
                  </c:pt>
                  <c:pt idx="6">
                    <c:v>765</c:v>
                  </c:pt>
                  <c:pt idx="7">
                    <c:v>820</c:v>
                  </c:pt>
                  <c:pt idx="8">
                    <c:v>845</c:v>
                  </c:pt>
                  <c:pt idx="9">
                    <c:v>1190</c:v>
                  </c:pt>
                  <c:pt idx="10">
                    <c:v>(blank)</c:v>
                  </c:pt>
                  <c:pt idx="11">
                    <c:v>95</c:v>
                  </c:pt>
                  <c:pt idx="12">
                    <c:v>290</c:v>
                  </c:pt>
                  <c:pt idx="13">
                    <c:v>(blank)</c:v>
                  </c:pt>
                  <c:pt idx="14">
                    <c:v>60</c:v>
                  </c:pt>
                  <c:pt idx="15">
                    <c:v>385</c:v>
                  </c:pt>
                  <c:pt idx="16">
                    <c:v>390</c:v>
                  </c:pt>
                  <c:pt idx="17">
                    <c:v>695</c:v>
                  </c:pt>
                  <c:pt idx="18">
                    <c:v>940</c:v>
                  </c:pt>
                  <c:pt idx="19">
                    <c:v>1290</c:v>
                  </c:pt>
                  <c:pt idx="20">
                    <c:v>1580</c:v>
                  </c:pt>
                  <c:pt idx="21">
                    <c:v>1730</c:v>
                  </c:pt>
                  <c:pt idx="22">
                    <c:v>(blank)</c:v>
                  </c:pt>
                  <c:pt idx="23">
                    <c:v>35</c:v>
                  </c:pt>
                  <c:pt idx="24">
                    <c:v>90</c:v>
                  </c:pt>
                  <c:pt idx="25">
                    <c:v>450</c:v>
                  </c:pt>
                  <c:pt idx="26">
                    <c:v>930</c:v>
                  </c:pt>
                  <c:pt idx="27">
                    <c:v>990</c:v>
                  </c:pt>
                  <c:pt idx="28">
                    <c:v>(blank)</c:v>
                  </c:pt>
                  <c:pt idx="29">
                    <c:v>20</c:v>
                  </c:pt>
                  <c:pt idx="30">
                    <c:v>365</c:v>
                  </c:pt>
                  <c:pt idx="31">
                    <c:v>445</c:v>
                  </c:pt>
                  <c:pt idx="32">
                    <c:v>890</c:v>
                  </c:pt>
                  <c:pt idx="33">
                    <c:v>915</c:v>
                  </c:pt>
                  <c:pt idx="34">
                    <c:v>(blank)</c:v>
                  </c:pt>
                  <c:pt idx="35">
                    <c:v>160</c:v>
                  </c:pt>
                  <c:pt idx="36">
                    <c:v>195</c:v>
                  </c:pt>
                  <c:pt idx="37">
                    <c:v>1000</c:v>
                  </c:pt>
                  <c:pt idx="38">
                    <c:v>(blank)</c:v>
                  </c:pt>
                  <c:pt idx="39">
                    <c:v>25</c:v>
                  </c:pt>
                  <c:pt idx="40">
                    <c:v>185</c:v>
                  </c:pt>
                  <c:pt idx="41">
                    <c:v>545</c:v>
                  </c:pt>
                  <c:pt idx="42">
                    <c:v>570</c:v>
                  </c:pt>
                  <c:pt idx="43">
                    <c:v>1095</c:v>
                  </c:pt>
                  <c:pt idx="44">
                    <c:v>1240</c:v>
                  </c:pt>
                  <c:pt idx="45">
                    <c:v>1620</c:v>
                  </c:pt>
                  <c:pt idx="46">
                    <c:v>(blank)</c:v>
                  </c:pt>
                  <c:pt idx="47">
                    <c:v>20</c:v>
                  </c:pt>
                  <c:pt idx="48">
                    <c:v>60</c:v>
                  </c:pt>
                  <c:pt idx="49">
                    <c:v>515</c:v>
                  </c:pt>
                  <c:pt idx="50">
                    <c:v>565</c:v>
                  </c:pt>
                  <c:pt idx="51">
                    <c:v>175</c:v>
                  </c:pt>
                  <c:pt idx="52">
                    <c:v>940</c:v>
                  </c:pt>
                  <c:pt idx="53">
                    <c:v>1000</c:v>
                  </c:pt>
                  <c:pt idx="54">
                    <c:v>(blank)</c:v>
                  </c:pt>
                  <c:pt idx="55">
                    <c:v>605</c:v>
                  </c:pt>
                  <c:pt idx="56">
                    <c:v>755</c:v>
                  </c:pt>
                  <c:pt idx="57">
                    <c:v>780</c:v>
                  </c:pt>
                  <c:pt idx="58">
                    <c:v>855</c:v>
                  </c:pt>
                  <c:pt idx="59">
                    <c:v>1415</c:v>
                  </c:pt>
                  <c:pt idx="60">
                    <c:v>(blank)</c:v>
                  </c:pt>
                  <c:pt idx="61">
                    <c:v>405</c:v>
                  </c:pt>
                  <c:pt idx="62">
                    <c:v>425</c:v>
                  </c:pt>
                  <c:pt idx="63">
                    <c:v>475</c:v>
                  </c:pt>
                  <c:pt idx="64">
                    <c:v>880</c:v>
                  </c:pt>
                  <c:pt idx="65">
                    <c:v>1200</c:v>
                  </c:pt>
                  <c:pt idx="66">
                    <c:v>1230</c:v>
                  </c:pt>
                  <c:pt idx="67">
                    <c:v>(blank)</c:v>
                  </c:pt>
                  <c:pt idx="68">
                    <c:v>815</c:v>
                  </c:pt>
                  <c:pt idx="69">
                    <c:v>1100</c:v>
                  </c:pt>
                  <c:pt idx="70">
                    <c:v>(blank)</c:v>
                  </c:pt>
                  <c:pt idx="71">
                    <c:v>735</c:v>
                  </c:pt>
                  <c:pt idx="72">
                    <c:v>990</c:v>
                  </c:pt>
                  <c:pt idx="73">
                    <c:v>1350</c:v>
                  </c:pt>
                  <c:pt idx="74">
                    <c:v>525</c:v>
                  </c:pt>
                  <c:pt idx="75">
                    <c:v>640</c:v>
                  </c:pt>
                  <c:pt idx="76">
                    <c:v>495</c:v>
                  </c:pt>
                  <c:pt idx="77">
                    <c:v>755</c:v>
                  </c:pt>
                  <c:pt idx="78">
                    <c:v>1085</c:v>
                  </c:pt>
                  <c:pt idx="79">
                    <c:v>1645</c:v>
                  </c:pt>
                  <c:pt idx="80">
                    <c:v>1945</c:v>
                  </c:pt>
                  <c:pt idx="81">
                    <c:v>(blank)</c:v>
                  </c:pt>
                  <c:pt idx="82">
                    <c:v>70</c:v>
                  </c:pt>
                  <c:pt idx="83">
                    <c:v>135</c:v>
                  </c:pt>
                  <c:pt idx="84">
                    <c:v>325</c:v>
                  </c:pt>
                  <c:pt idx="85">
                    <c:v>415</c:v>
                  </c:pt>
                  <c:pt idx="86">
                    <c:v>435</c:v>
                  </c:pt>
                  <c:pt idx="87">
                    <c:v>480</c:v>
                  </c:pt>
                  <c:pt idx="88">
                    <c:v>1380</c:v>
                  </c:pt>
                  <c:pt idx="89">
                    <c:v>(blank)</c:v>
                  </c:pt>
                  <c:pt idx="90">
                    <c:v>370</c:v>
                  </c:pt>
                  <c:pt idx="91">
                    <c:v>775</c:v>
                  </c:pt>
                  <c:pt idx="92">
                    <c:v>1315</c:v>
                  </c:pt>
                  <c:pt idx="93">
                    <c:v>1720</c:v>
                  </c:pt>
                  <c:pt idx="94">
                    <c:v>170</c:v>
                  </c:pt>
                  <c:pt idx="95">
                    <c:v>(blank)</c:v>
                  </c:pt>
                  <c:pt idx="96">
                    <c:v>395</c:v>
                  </c:pt>
                  <c:pt idx="97">
                    <c:v>700</c:v>
                  </c:pt>
                  <c:pt idx="98">
                    <c:v>1030</c:v>
                  </c:pt>
                  <c:pt idx="99">
                    <c:v>1235</c:v>
                  </c:pt>
                  <c:pt idx="100">
                    <c:v>(blank)</c:v>
                  </c:pt>
                  <c:pt idx="101">
                    <c:v>225</c:v>
                  </c:pt>
                  <c:pt idx="102">
                    <c:v>1135</c:v>
                  </c:pt>
                  <c:pt idx="103">
                    <c:v>(blank)</c:v>
                  </c:pt>
                  <c:pt idx="104">
                    <c:v>30</c:v>
                  </c:pt>
                  <c:pt idx="105">
                    <c:v>225</c:v>
                  </c:pt>
                  <c:pt idx="106">
                    <c:v>315</c:v>
                  </c:pt>
                  <c:pt idx="107">
                    <c:v>760</c:v>
                  </c:pt>
                  <c:pt idx="108">
                    <c:v>780</c:v>
                  </c:pt>
                  <c:pt idx="109">
                    <c:v>1120</c:v>
                  </c:pt>
                  <c:pt idx="110">
                    <c:v>1365</c:v>
                  </c:pt>
                  <c:pt idx="111">
                    <c:v>(blank)</c:v>
                  </c:pt>
                  <c:pt idx="112">
                    <c:v>450</c:v>
                  </c:pt>
                  <c:pt idx="113">
                    <c:v>765</c:v>
                  </c:pt>
                  <c:pt idx="114">
                    <c:v>(blank)</c:v>
                  </c:pt>
                  <c:pt idx="115">
                    <c:v>1290</c:v>
                  </c:pt>
                  <c:pt idx="116">
                    <c:v>(blank)</c:v>
                  </c:pt>
                  <c:pt idx="117">
                    <c:v>120</c:v>
                  </c:pt>
                  <c:pt idx="118">
                    <c:v>295</c:v>
                  </c:pt>
                  <c:pt idx="119">
                    <c:v>525</c:v>
                  </c:pt>
                  <c:pt idx="120">
                    <c:v>690</c:v>
                  </c:pt>
                  <c:pt idx="121">
                    <c:v>755</c:v>
                  </c:pt>
                  <c:pt idx="122">
                    <c:v>1275</c:v>
                  </c:pt>
                  <c:pt idx="123">
                    <c:v>2075</c:v>
                  </c:pt>
                  <c:pt idx="124">
                    <c:v>(blank)</c:v>
                  </c:pt>
                  <c:pt idx="125">
                    <c:v>300</c:v>
                  </c:pt>
                  <c:pt idx="126">
                    <c:v>375</c:v>
                  </c:pt>
                  <c:pt idx="127">
                    <c:v>400</c:v>
                  </c:pt>
                  <c:pt idx="128">
                    <c:v>1540</c:v>
                  </c:pt>
                  <c:pt idx="129">
                    <c:v>190</c:v>
                  </c:pt>
                  <c:pt idx="130">
                    <c:v>515</c:v>
                  </c:pt>
                  <c:pt idx="131">
                    <c:v>(blank)</c:v>
                  </c:pt>
                  <c:pt idx="132">
                    <c:v>85</c:v>
                  </c:pt>
                  <c:pt idx="133">
                    <c:v>125</c:v>
                  </c:pt>
                  <c:pt idx="134">
                    <c:v>(blank)</c:v>
                  </c:pt>
                  <c:pt idx="135">
                    <c:v>175</c:v>
                  </c:pt>
                  <c:pt idx="136">
                    <c:v>260</c:v>
                  </c:pt>
                  <c:pt idx="137">
                    <c:v>565</c:v>
                  </c:pt>
                  <c:pt idx="138">
                    <c:v>770</c:v>
                  </c:pt>
                  <c:pt idx="139">
                    <c:v>835</c:v>
                  </c:pt>
                  <c:pt idx="140">
                    <c:v>1175</c:v>
                  </c:pt>
                  <c:pt idx="141">
                    <c:v>(blank)</c:v>
                  </c:pt>
                  <c:pt idx="142">
                    <c:v>205</c:v>
                  </c:pt>
                  <c:pt idx="143">
                    <c:v>425</c:v>
                  </c:pt>
                  <c:pt idx="144">
                    <c:v>(blank)</c:v>
                  </c:pt>
                  <c:pt idx="145">
                    <c:v>195</c:v>
                  </c:pt>
                  <c:pt idx="146">
                    <c:v>1155</c:v>
                  </c:pt>
                  <c:pt idx="147">
                    <c:v>1265</c:v>
                  </c:pt>
                  <c:pt idx="148">
                    <c:v>(blank)</c:v>
                  </c:pt>
                  <c:pt idx="149">
                    <c:v>560</c:v>
                  </c:pt>
                  <c:pt idx="150">
                    <c:v>1350</c:v>
                  </c:pt>
                  <c:pt idx="151">
                    <c:v>190</c:v>
                  </c:pt>
                  <c:pt idx="152">
                    <c:v>405</c:v>
                  </c:pt>
                  <c:pt idx="153">
                    <c:v>705</c:v>
                  </c:pt>
                  <c:pt idx="154">
                    <c:v>800</c:v>
                  </c:pt>
                  <c:pt idx="155">
                    <c:v>965</c:v>
                  </c:pt>
                  <c:pt idx="156">
                    <c:v>1040</c:v>
                  </c:pt>
                  <c:pt idx="157">
                    <c:v>1475</c:v>
                  </c:pt>
                  <c:pt idx="158">
                    <c:v>1755</c:v>
                  </c:pt>
                  <c:pt idx="159">
                    <c:v>(blank)</c:v>
                  </c:pt>
                  <c:pt idx="160">
                    <c:v>540</c:v>
                  </c:pt>
                  <c:pt idx="161">
                    <c:v>605</c:v>
                  </c:pt>
                  <c:pt idx="162">
                    <c:v>1360</c:v>
                  </c:pt>
                  <c:pt idx="163">
                    <c:v>355</c:v>
                  </c:pt>
                  <c:pt idx="164">
                    <c:v>860</c:v>
                  </c:pt>
                  <c:pt idx="165">
                    <c:v>435</c:v>
                  </c:pt>
                  <c:pt idx="166">
                    <c:v>2125</c:v>
                  </c:pt>
                  <c:pt idx="167">
                    <c:v>(blank)</c:v>
                  </c:pt>
                  <c:pt idx="168">
                    <c:v>400</c:v>
                  </c:pt>
                  <c:pt idx="169">
                    <c:v>1490</c:v>
                  </c:pt>
                  <c:pt idx="170">
                    <c:v>525</c:v>
                  </c:pt>
                  <c:pt idx="171">
                    <c:v>575</c:v>
                  </c:pt>
                  <c:pt idx="172">
                    <c:v>1045</c:v>
                  </c:pt>
                  <c:pt idx="173">
                    <c:v>(blank)</c:v>
                  </c:pt>
                  <c:pt idx="174">
                    <c:v>135</c:v>
                  </c:pt>
                  <c:pt idx="175">
                    <c:v>655</c:v>
                  </c:pt>
                  <c:pt idx="176">
                    <c:v>1365</c:v>
                  </c:pt>
                  <c:pt idx="177">
                    <c:v>(blank)</c:v>
                  </c:pt>
                  <c:pt idx="178">
                    <c:v>75</c:v>
                  </c:pt>
                  <c:pt idx="179">
                    <c:v>785</c:v>
                  </c:pt>
                  <c:pt idx="180">
                    <c:v>(blank)</c:v>
                  </c:pt>
                  <c:pt idx="181">
                    <c:v>15</c:v>
                  </c:pt>
                  <c:pt idx="182">
                    <c:v>65</c:v>
                  </c:pt>
                  <c:pt idx="183">
                    <c:v>90</c:v>
                  </c:pt>
                  <c:pt idx="184">
                    <c:v>880</c:v>
                  </c:pt>
                  <c:pt idx="185">
                    <c:v>940</c:v>
                  </c:pt>
                  <c:pt idx="186">
                    <c:v>945</c:v>
                  </c:pt>
                  <c:pt idx="187">
                    <c:v>395</c:v>
                  </c:pt>
                  <c:pt idx="188">
                    <c:v>595</c:v>
                  </c:pt>
                  <c:pt idx="189">
                    <c:v>945</c:v>
                  </c:pt>
                  <c:pt idx="190">
                    <c:v>(blank)</c:v>
                  </c:pt>
                  <c:pt idx="191">
                    <c:v>190</c:v>
                  </c:pt>
                  <c:pt idx="192">
                    <c:v>365</c:v>
                  </c:pt>
                  <c:pt idx="193">
                    <c:v>835</c:v>
                  </c:pt>
                  <c:pt idx="194">
                    <c:v>1680</c:v>
                  </c:pt>
                  <c:pt idx="195">
                    <c:v>(blank)</c:v>
                  </c:pt>
                  <c:pt idx="196">
                    <c:v>75</c:v>
                  </c:pt>
                  <c:pt idx="197">
                    <c:v>720</c:v>
                  </c:pt>
                  <c:pt idx="198">
                    <c:v>1815</c:v>
                  </c:pt>
                  <c:pt idx="199">
                    <c:v>(blank)</c:v>
                  </c:pt>
                  <c:pt idx="200">
                    <c:v>5</c:v>
                  </c:pt>
                  <c:pt idx="201">
                    <c:v>485</c:v>
                  </c:pt>
                  <c:pt idx="202">
                    <c:v>530</c:v>
                  </c:pt>
                  <c:pt idx="203">
                    <c:v>1500</c:v>
                  </c:pt>
                  <c:pt idx="204">
                    <c:v>(blank)</c:v>
                  </c:pt>
                  <c:pt idx="205">
                    <c:v>45</c:v>
                  </c:pt>
                  <c:pt idx="206">
                    <c:v>445</c:v>
                  </c:pt>
                  <c:pt idx="207">
                    <c:v>630</c:v>
                  </c:pt>
                  <c:pt idx="208">
                    <c:v>910</c:v>
                  </c:pt>
                  <c:pt idx="209">
                    <c:v>915</c:v>
                  </c:pt>
                  <c:pt idx="210">
                    <c:v>20</c:v>
                  </c:pt>
                  <c:pt idx="211">
                    <c:v>330</c:v>
                  </c:pt>
                  <c:pt idx="212">
                    <c:v>860</c:v>
                  </c:pt>
                  <c:pt idx="213">
                    <c:v>945</c:v>
                  </c:pt>
                  <c:pt idx="214">
                    <c:v>(blank)</c:v>
                  </c:pt>
                  <c:pt idx="215">
                    <c:v>(blank)</c:v>
                  </c:pt>
                  <c:pt idx="216">
                    <c:v>385</c:v>
                  </c:pt>
                  <c:pt idx="217">
                    <c:v>590</c:v>
                  </c:pt>
                  <c:pt idx="218">
                    <c:v>1535</c:v>
                  </c:pt>
                  <c:pt idx="219">
                    <c:v>(blank)</c:v>
                  </c:pt>
                  <c:pt idx="220">
                    <c:v>110</c:v>
                  </c:pt>
                  <c:pt idx="221">
                    <c:v>280</c:v>
                  </c:pt>
                  <c:pt idx="222">
                    <c:v>645</c:v>
                  </c:pt>
                  <c:pt idx="223">
                    <c:v>750</c:v>
                  </c:pt>
                  <c:pt idx="224">
                    <c:v>(blank)</c:v>
                  </c:pt>
                  <c:pt idx="225">
                    <c:v>195</c:v>
                  </c:pt>
                  <c:pt idx="226">
                    <c:v>300</c:v>
                  </c:pt>
                  <c:pt idx="227">
                    <c:v>460</c:v>
                  </c:pt>
                  <c:pt idx="228">
                    <c:v>690</c:v>
                  </c:pt>
                  <c:pt idx="229">
                    <c:v>810</c:v>
                  </c:pt>
                  <c:pt idx="230">
                    <c:v>825</c:v>
                  </c:pt>
                  <c:pt idx="231">
                    <c:v>(blank)</c:v>
                  </c:pt>
                  <c:pt idx="232">
                    <c:v>210</c:v>
                  </c:pt>
                  <c:pt idx="233">
                    <c:v>645</c:v>
                  </c:pt>
                  <c:pt idx="234">
                    <c:v>785</c:v>
                  </c:pt>
                  <c:pt idx="235">
                    <c:v>1170</c:v>
                  </c:pt>
                  <c:pt idx="236">
                    <c:v>(blank)</c:v>
                  </c:pt>
                  <c:pt idx="237">
                    <c:v>375</c:v>
                  </c:pt>
                  <c:pt idx="238">
                    <c:v>420</c:v>
                  </c:pt>
                  <c:pt idx="239">
                    <c:v>585</c:v>
                  </c:pt>
                  <c:pt idx="240">
                    <c:v>690</c:v>
                  </c:pt>
                  <c:pt idx="241">
                    <c:v>730</c:v>
                  </c:pt>
                  <c:pt idx="242">
                    <c:v>785</c:v>
                  </c:pt>
                  <c:pt idx="243">
                    <c:v>(blank)</c:v>
                  </c:pt>
                  <c:pt idx="244">
                    <c:v>140</c:v>
                  </c:pt>
                  <c:pt idx="245">
                    <c:v>370</c:v>
                  </c:pt>
                  <c:pt idx="246">
                    <c:v>565</c:v>
                  </c:pt>
                  <c:pt idx="247">
                    <c:v>(blank)</c:v>
                  </c:pt>
                  <c:pt idx="248">
                    <c:v>405</c:v>
                  </c:pt>
                  <c:pt idx="249">
                    <c:v>(blank)</c:v>
                  </c:pt>
                  <c:pt idx="250">
                    <c:v>80</c:v>
                  </c:pt>
                  <c:pt idx="251">
                    <c:v>505</c:v>
                  </c:pt>
                  <c:pt idx="252">
                    <c:v>1110</c:v>
                  </c:pt>
                  <c:pt idx="253">
                    <c:v>1655</c:v>
                  </c:pt>
                  <c:pt idx="254">
                    <c:v>30</c:v>
                  </c:pt>
                  <c:pt idx="255">
                    <c:v>150</c:v>
                  </c:pt>
                  <c:pt idx="256">
                    <c:v>710</c:v>
                  </c:pt>
                  <c:pt idx="257">
                    <c:v>795</c:v>
                  </c:pt>
                  <c:pt idx="258">
                    <c:v>815</c:v>
                  </c:pt>
                  <c:pt idx="259">
                    <c:v>830</c:v>
                  </c:pt>
                  <c:pt idx="260">
                    <c:v>875</c:v>
                  </c:pt>
                  <c:pt idx="261">
                    <c:v>(blank)</c:v>
                  </c:pt>
                  <c:pt idx="262">
                    <c:v>15</c:v>
                  </c:pt>
                  <c:pt idx="263">
                    <c:v>110</c:v>
                  </c:pt>
                  <c:pt idx="264">
                    <c:v>500</c:v>
                  </c:pt>
                  <c:pt idx="265">
                    <c:v>1145</c:v>
                  </c:pt>
                  <c:pt idx="266">
                    <c:v>(blank)</c:v>
                  </c:pt>
                  <c:pt idx="267">
                    <c:v>25</c:v>
                  </c:pt>
                  <c:pt idx="268">
                    <c:v>570</c:v>
                  </c:pt>
                  <c:pt idx="269">
                    <c:v>1420</c:v>
                  </c:pt>
                  <c:pt idx="270">
                    <c:v>(blank)</c:v>
                  </c:pt>
                  <c:pt idx="271">
                    <c:v>130</c:v>
                  </c:pt>
                  <c:pt idx="272">
                    <c:v>250</c:v>
                  </c:pt>
                  <c:pt idx="273">
                    <c:v>490</c:v>
                  </c:pt>
                  <c:pt idx="274">
                    <c:v>515</c:v>
                  </c:pt>
                  <c:pt idx="275">
                    <c:v>1315</c:v>
                  </c:pt>
                  <c:pt idx="276">
                    <c:v>80</c:v>
                  </c:pt>
                  <c:pt idx="277">
                    <c:v>345</c:v>
                  </c:pt>
                  <c:pt idx="278">
                    <c:v>745</c:v>
                  </c:pt>
                  <c:pt idx="279">
                    <c:v>(blank)</c:v>
                  </c:pt>
                  <c:pt idx="280">
                    <c:v>370</c:v>
                  </c:pt>
                  <c:pt idx="281">
                    <c:v>775</c:v>
                  </c:pt>
                  <c:pt idx="282">
                    <c:v>(blank)</c:v>
                  </c:pt>
                  <c:pt idx="283">
                    <c:v>285</c:v>
                  </c:pt>
                  <c:pt idx="284">
                    <c:v>380</c:v>
                  </c:pt>
                  <c:pt idx="285">
                    <c:v>(blank)</c:v>
                  </c:pt>
                  <c:pt idx="286">
                    <c:v>200</c:v>
                  </c:pt>
                  <c:pt idx="287">
                    <c:v>765</c:v>
                  </c:pt>
                  <c:pt idx="288">
                    <c:v>785</c:v>
                  </c:pt>
                  <c:pt idx="289">
                    <c:v>955</c:v>
                  </c:pt>
                  <c:pt idx="290">
                    <c:v>1315</c:v>
                  </c:pt>
                  <c:pt idx="291">
                    <c:v>(blank)</c:v>
                  </c:pt>
                  <c:pt idx="292">
                    <c:v>145</c:v>
                  </c:pt>
                  <c:pt idx="293">
                    <c:v>590</c:v>
                  </c:pt>
                  <c:pt idx="294">
                    <c:v>1080</c:v>
                  </c:pt>
                  <c:pt idx="295">
                    <c:v>(blank)</c:v>
                  </c:pt>
                  <c:pt idx="296">
                    <c:v>280</c:v>
                  </c:pt>
                  <c:pt idx="297">
                    <c:v>335</c:v>
                  </c:pt>
                  <c:pt idx="298">
                    <c:v>830</c:v>
                  </c:pt>
                  <c:pt idx="299">
                    <c:v>(blank)</c:v>
                  </c:pt>
                  <c:pt idx="300">
                    <c:v>125</c:v>
                  </c:pt>
                  <c:pt idx="301">
                    <c:v>140</c:v>
                  </c:pt>
                  <c:pt idx="302">
                    <c:v>505</c:v>
                  </c:pt>
                  <c:pt idx="303">
                    <c:v>730</c:v>
                  </c:pt>
                  <c:pt idx="304">
                    <c:v>(blank)</c:v>
                  </c:pt>
                  <c:pt idx="305">
                    <c:v>455</c:v>
                  </c:pt>
                  <c:pt idx="306">
                    <c:v>775</c:v>
                  </c:pt>
                  <c:pt idx="307">
                    <c:v>1385</c:v>
                  </c:pt>
                  <c:pt idx="308">
                    <c:v>(blank)</c:v>
                  </c:pt>
                  <c:pt idx="309">
                    <c:v>530</c:v>
                  </c:pt>
                  <c:pt idx="310">
                    <c:v>695</c:v>
                  </c:pt>
                  <c:pt idx="311">
                    <c:v>775</c:v>
                  </c:pt>
                  <c:pt idx="312">
                    <c:v>790</c:v>
                  </c:pt>
                  <c:pt idx="313">
                    <c:v>965</c:v>
                  </c:pt>
                  <c:pt idx="314">
                    <c:v>1140</c:v>
                  </c:pt>
                  <c:pt idx="315">
                    <c:v>(blank)</c:v>
                  </c:pt>
                  <c:pt idx="316">
                    <c:v>15</c:v>
                  </c:pt>
                  <c:pt idx="317">
                    <c:v>195</c:v>
                  </c:pt>
                  <c:pt idx="318">
                    <c:v>255</c:v>
                  </c:pt>
                  <c:pt idx="319">
                    <c:v>440</c:v>
                  </c:pt>
                  <c:pt idx="320">
                    <c:v>785</c:v>
                  </c:pt>
                  <c:pt idx="321">
                    <c:v>1115</c:v>
                  </c:pt>
                  <c:pt idx="322">
                    <c:v>1615</c:v>
                  </c:pt>
                  <c:pt idx="323">
                    <c:v>175</c:v>
                  </c:pt>
                  <c:pt idx="324">
                    <c:v>270</c:v>
                  </c:pt>
                  <c:pt idx="325">
                    <c:v>765</c:v>
                  </c:pt>
                  <c:pt idx="326">
                    <c:v>(blank)</c:v>
                  </c:pt>
                  <c:pt idx="327">
                    <c:v>85</c:v>
                  </c:pt>
                  <c:pt idx="328">
                    <c:v>185</c:v>
                  </c:pt>
                  <c:pt idx="329">
                    <c:v>525</c:v>
                  </c:pt>
                  <c:pt idx="330">
                    <c:v>610</c:v>
                  </c:pt>
                  <c:pt idx="331">
                    <c:v>710</c:v>
                  </c:pt>
                  <c:pt idx="332">
                    <c:v>875</c:v>
                  </c:pt>
                  <c:pt idx="333">
                    <c:v>1220</c:v>
                  </c:pt>
                  <c:pt idx="334">
                    <c:v>(blank)</c:v>
                  </c:pt>
                  <c:pt idx="335">
                    <c:v>865</c:v>
                  </c:pt>
                  <c:pt idx="336">
                    <c:v>(blank)</c:v>
                  </c:pt>
                  <c:pt idx="337">
                    <c:v>365</c:v>
                  </c:pt>
                  <c:pt idx="338">
                    <c:v>390</c:v>
                  </c:pt>
                  <c:pt idx="339">
                    <c:v>(blank)</c:v>
                  </c:pt>
                  <c:pt idx="340">
                    <c:v>365</c:v>
                  </c:pt>
                  <c:pt idx="341">
                    <c:v>420</c:v>
                  </c:pt>
                  <c:pt idx="342">
                    <c:v>640</c:v>
                  </c:pt>
                  <c:pt idx="343">
                    <c:v>(blank)</c:v>
                  </c:pt>
                  <c:pt idx="344">
                    <c:v>325</c:v>
                  </c:pt>
                  <c:pt idx="345">
                    <c:v>(blank)</c:v>
                  </c:pt>
                  <c:pt idx="346">
                    <c:v>270</c:v>
                  </c:pt>
                  <c:pt idx="347">
                    <c:v>1300</c:v>
                  </c:pt>
                  <c:pt idx="348">
                    <c:v>185</c:v>
                  </c:pt>
                  <c:pt idx="349">
                    <c:v>395</c:v>
                  </c:pt>
                  <c:pt idx="350">
                    <c:v>415</c:v>
                  </c:pt>
                  <c:pt idx="351">
                    <c:v>935</c:v>
                  </c:pt>
                  <c:pt idx="352">
                    <c:v>975</c:v>
                  </c:pt>
                  <c:pt idx="353">
                    <c:v>(blank)</c:v>
                  </c:pt>
                  <c:pt idx="354">
                    <c:v>10</c:v>
                  </c:pt>
                  <c:pt idx="355">
                    <c:v>60</c:v>
                  </c:pt>
                  <c:pt idx="356">
                    <c:v>570</c:v>
                  </c:pt>
                  <c:pt idx="357">
                    <c:v>1550</c:v>
                  </c:pt>
                  <c:pt idx="358">
                    <c:v>370</c:v>
                  </c:pt>
                  <c:pt idx="359">
                    <c:v>950</c:v>
                  </c:pt>
                  <c:pt idx="360">
                    <c:v>1075</c:v>
                  </c:pt>
                  <c:pt idx="361">
                    <c:v>1490</c:v>
                  </c:pt>
                  <c:pt idx="362">
                    <c:v>(blank)</c:v>
                  </c:pt>
                  <c:pt idx="363">
                    <c:v>310</c:v>
                  </c:pt>
                  <c:pt idx="364">
                    <c:v>85</c:v>
                  </c:pt>
                  <c:pt idx="365">
                    <c:v>315</c:v>
                  </c:pt>
                  <c:pt idx="366">
                    <c:v>375</c:v>
                  </c:pt>
                  <c:pt idx="367">
                    <c:v>750</c:v>
                  </c:pt>
                  <c:pt idx="368">
                    <c:v>1010</c:v>
                  </c:pt>
                  <c:pt idx="369">
                    <c:v>(blank)</c:v>
                  </c:pt>
                  <c:pt idx="370">
                    <c:v>65</c:v>
                  </c:pt>
                  <c:pt idx="371">
                    <c:v>180</c:v>
                  </c:pt>
                  <c:pt idx="372">
                    <c:v>370</c:v>
                  </c:pt>
                  <c:pt idx="373">
                    <c:v>480</c:v>
                  </c:pt>
                  <c:pt idx="374">
                    <c:v>975</c:v>
                  </c:pt>
                  <c:pt idx="375">
                    <c:v>(blank)</c:v>
                  </c:pt>
                  <c:pt idx="376">
                    <c:v>80</c:v>
                  </c:pt>
                  <c:pt idx="377">
                    <c:v>355</c:v>
                  </c:pt>
                  <c:pt idx="378">
                    <c:v>470</c:v>
                  </c:pt>
                  <c:pt idx="379">
                    <c:v>1135</c:v>
                  </c:pt>
                  <c:pt idx="380">
                    <c:v>1790</c:v>
                  </c:pt>
                  <c:pt idx="381">
                    <c:v>(blank)</c:v>
                  </c:pt>
                </c:lvl>
                <c:lvl>
                  <c:pt idx="0">
                    <c:v>01-Dec-23</c:v>
                  </c:pt>
                  <c:pt idx="1">
                    <c:v>02-Dec-23</c:v>
                  </c:pt>
                  <c:pt idx="2">
                    <c:v>03-Dec-23</c:v>
                  </c:pt>
                  <c:pt idx="3">
                    <c:v>04-Dec-23</c:v>
                  </c:pt>
                  <c:pt idx="11">
                    <c:v>05-Dec-23</c:v>
                  </c:pt>
                  <c:pt idx="14">
                    <c:v>06-Dec-23</c:v>
                  </c:pt>
                  <c:pt idx="23">
                    <c:v>08-Dec-23</c:v>
                  </c:pt>
                  <c:pt idx="29">
                    <c:v>09-Dec-23</c:v>
                  </c:pt>
                  <c:pt idx="35">
                    <c:v>10-Dec-23</c:v>
                  </c:pt>
                  <c:pt idx="36">
                    <c:v>11-Dec-23</c:v>
                  </c:pt>
                  <c:pt idx="39">
                    <c:v>12-Dec-23</c:v>
                  </c:pt>
                  <c:pt idx="47">
                    <c:v>13-Dec-23</c:v>
                  </c:pt>
                  <c:pt idx="51">
                    <c:v>14-Dec-23</c:v>
                  </c:pt>
                  <c:pt idx="55">
                    <c:v>15-Dec-23</c:v>
                  </c:pt>
                  <c:pt idx="61">
                    <c:v>16-Dec-23</c:v>
                  </c:pt>
                  <c:pt idx="68">
                    <c:v>17-Dec-23</c:v>
                  </c:pt>
                  <c:pt idx="71">
                    <c:v>18-Dec-23</c:v>
                  </c:pt>
                  <c:pt idx="74">
                    <c:v>19-Dec-23</c:v>
                  </c:pt>
                  <c:pt idx="76">
                    <c:v>20-Dec-23</c:v>
                  </c:pt>
                  <c:pt idx="82">
                    <c:v>21-Dec-23</c:v>
                  </c:pt>
                  <c:pt idx="90">
                    <c:v>22-Dec-23</c:v>
                  </c:pt>
                  <c:pt idx="94">
                    <c:v>23-Dec-23</c:v>
                  </c:pt>
                  <c:pt idx="96">
                    <c:v>24-Dec-23</c:v>
                  </c:pt>
                  <c:pt idx="101">
                    <c:v>25-Dec-23</c:v>
                  </c:pt>
                  <c:pt idx="104">
                    <c:v>26-Dec-23</c:v>
                  </c:pt>
                  <c:pt idx="112">
                    <c:v>27-Dec-23</c:v>
                  </c:pt>
                  <c:pt idx="115">
                    <c:v>28-Dec-23</c:v>
                  </c:pt>
                  <c:pt idx="117">
                    <c:v>29-Dec-23</c:v>
                  </c:pt>
                  <c:pt idx="125">
                    <c:v>30-Dec-23</c:v>
                  </c:pt>
                  <c:pt idx="129">
                    <c:v>31-Dec-23</c:v>
                  </c:pt>
                  <c:pt idx="132">
                    <c:v>01-Jan-24</c:v>
                  </c:pt>
                  <c:pt idx="135">
                    <c:v>02-Jan-24</c:v>
                  </c:pt>
                  <c:pt idx="142">
                    <c:v>03-Jan-24</c:v>
                  </c:pt>
                  <c:pt idx="145">
                    <c:v>04-Jan-24</c:v>
                  </c:pt>
                  <c:pt idx="149">
                    <c:v>05-Jan-24</c:v>
                  </c:pt>
                  <c:pt idx="151">
                    <c:v>06-Jan-24</c:v>
                  </c:pt>
                  <c:pt idx="160">
                    <c:v>07-Jan-24</c:v>
                  </c:pt>
                  <c:pt idx="163">
                    <c:v>08-Jan-24</c:v>
                  </c:pt>
                  <c:pt idx="165">
                    <c:v>09-Jan-24</c:v>
                  </c:pt>
                  <c:pt idx="168">
                    <c:v>10-Jan-24</c:v>
                  </c:pt>
                  <c:pt idx="170">
                    <c:v>11-Jan-24</c:v>
                  </c:pt>
                  <c:pt idx="174">
                    <c:v>12-Jan-24</c:v>
                  </c:pt>
                  <c:pt idx="178">
                    <c:v>13-Jan-24</c:v>
                  </c:pt>
                  <c:pt idx="181">
                    <c:v>14-Jan-24</c:v>
                  </c:pt>
                  <c:pt idx="187">
                    <c:v>15-Jan-24</c:v>
                  </c:pt>
                  <c:pt idx="188">
                    <c:v>16-Jan-24</c:v>
                  </c:pt>
                  <c:pt idx="191">
                    <c:v>17-Jan-24</c:v>
                  </c:pt>
                  <c:pt idx="196">
                    <c:v>18-Jan-24</c:v>
                  </c:pt>
                  <c:pt idx="200">
                    <c:v>19-Jan-24</c:v>
                  </c:pt>
                  <c:pt idx="205">
                    <c:v>20-Jan-24</c:v>
                  </c:pt>
                  <c:pt idx="210">
                    <c:v>21-Jan-24</c:v>
                  </c:pt>
                  <c:pt idx="215">
                    <c:v>22-Jan-24</c:v>
                  </c:pt>
                  <c:pt idx="216">
                    <c:v>23-Jan-24</c:v>
                  </c:pt>
                  <c:pt idx="220">
                    <c:v>24-Jan-24</c:v>
                  </c:pt>
                  <c:pt idx="225">
                    <c:v>25-Jan-24</c:v>
                  </c:pt>
                  <c:pt idx="232">
                    <c:v>26-Jan-24</c:v>
                  </c:pt>
                  <c:pt idx="237">
                    <c:v>27-Jan-24</c:v>
                  </c:pt>
                  <c:pt idx="244">
                    <c:v>28-Jan-24</c:v>
                  </c:pt>
                  <c:pt idx="248">
                    <c:v>29-Jan-24</c:v>
                  </c:pt>
                  <c:pt idx="250">
                    <c:v>30-Jan-24</c:v>
                  </c:pt>
                  <c:pt idx="254">
                    <c:v>31-Jan-24</c:v>
                  </c:pt>
                  <c:pt idx="262">
                    <c:v>01-Feb-24</c:v>
                  </c:pt>
                  <c:pt idx="267">
                    <c:v>02-Feb-24</c:v>
                  </c:pt>
                  <c:pt idx="271">
                    <c:v>03-Feb-24</c:v>
                  </c:pt>
                  <c:pt idx="276">
                    <c:v>04-Feb-24</c:v>
                  </c:pt>
                  <c:pt idx="280">
                    <c:v>05-Feb-24</c:v>
                  </c:pt>
                  <c:pt idx="283">
                    <c:v>07-Feb-24</c:v>
                  </c:pt>
                  <c:pt idx="286">
                    <c:v>08-Feb-24</c:v>
                  </c:pt>
                  <c:pt idx="292">
                    <c:v>09-Feb-24</c:v>
                  </c:pt>
                  <c:pt idx="296">
                    <c:v>10-Feb-24</c:v>
                  </c:pt>
                  <c:pt idx="300">
                    <c:v>11-Feb-24</c:v>
                  </c:pt>
                  <c:pt idx="305">
                    <c:v>12-Feb-24</c:v>
                  </c:pt>
                  <c:pt idx="309">
                    <c:v>13-Feb-24</c:v>
                  </c:pt>
                  <c:pt idx="316">
                    <c:v>14-Feb-24</c:v>
                  </c:pt>
                  <c:pt idx="323">
                    <c:v>15-Feb-24</c:v>
                  </c:pt>
                  <c:pt idx="327">
                    <c:v>16-Feb-24</c:v>
                  </c:pt>
                  <c:pt idx="335">
                    <c:v>17-Feb-24</c:v>
                  </c:pt>
                  <c:pt idx="337">
                    <c:v>18-Feb-24</c:v>
                  </c:pt>
                  <c:pt idx="340">
                    <c:v>19-Feb-24</c:v>
                  </c:pt>
                  <c:pt idx="344">
                    <c:v>20-Feb-24</c:v>
                  </c:pt>
                  <c:pt idx="346">
                    <c:v>21-Feb-24</c:v>
                  </c:pt>
                  <c:pt idx="348">
                    <c:v>22-Feb-24</c:v>
                  </c:pt>
                  <c:pt idx="354">
                    <c:v>23-Feb-24</c:v>
                  </c:pt>
                  <c:pt idx="358">
                    <c:v>24-Feb-24</c:v>
                  </c:pt>
                  <c:pt idx="363">
                    <c:v>25-Feb-24</c:v>
                  </c:pt>
                  <c:pt idx="364">
                    <c:v>26-Feb-24</c:v>
                  </c:pt>
                  <c:pt idx="370">
                    <c:v>27-Feb-24</c:v>
                  </c:pt>
                  <c:pt idx="376">
                    <c:v>28-Feb-24</c:v>
                  </c:pt>
                </c:lvl>
              </c:multiLvlStrCache>
            </c:multiLvlStrRef>
          </c:cat>
          <c:val>
            <c:numRef>
              <c:f>'Pivot table'!$C$4:$C$471</c:f>
              <c:numCache>
                <c:formatCode>General</c:formatCode>
                <c:ptCount val="382"/>
                <c:pt idx="0">
                  <c:v>930</c:v>
                </c:pt>
                <c:pt idx="1">
                  <c:v>4140</c:v>
                </c:pt>
                <c:pt idx="2">
                  <c:v>2460</c:v>
                </c:pt>
                <c:pt idx="3">
                  <c:v>35</c:v>
                </c:pt>
                <c:pt idx="4">
                  <c:v>80</c:v>
                </c:pt>
                <c:pt idx="5">
                  <c:v>275</c:v>
                </c:pt>
                <c:pt idx="6">
                  <c:v>765</c:v>
                </c:pt>
                <c:pt idx="7">
                  <c:v>820</c:v>
                </c:pt>
                <c:pt idx="8">
                  <c:v>845</c:v>
                </c:pt>
                <c:pt idx="9">
                  <c:v>1190</c:v>
                </c:pt>
                <c:pt idx="11">
                  <c:v>95</c:v>
                </c:pt>
                <c:pt idx="12">
                  <c:v>290</c:v>
                </c:pt>
                <c:pt idx="14">
                  <c:v>60</c:v>
                </c:pt>
                <c:pt idx="15">
                  <c:v>385</c:v>
                </c:pt>
                <c:pt idx="16">
                  <c:v>390</c:v>
                </c:pt>
                <c:pt idx="17">
                  <c:v>695</c:v>
                </c:pt>
                <c:pt idx="18">
                  <c:v>940</c:v>
                </c:pt>
                <c:pt idx="19">
                  <c:v>1290</c:v>
                </c:pt>
                <c:pt idx="20">
                  <c:v>1580</c:v>
                </c:pt>
                <c:pt idx="21">
                  <c:v>1730</c:v>
                </c:pt>
                <c:pt idx="23">
                  <c:v>35</c:v>
                </c:pt>
                <c:pt idx="24">
                  <c:v>90</c:v>
                </c:pt>
                <c:pt idx="25">
                  <c:v>450</c:v>
                </c:pt>
                <c:pt idx="26">
                  <c:v>930</c:v>
                </c:pt>
                <c:pt idx="27">
                  <c:v>990</c:v>
                </c:pt>
                <c:pt idx="29">
                  <c:v>20</c:v>
                </c:pt>
                <c:pt idx="30">
                  <c:v>365</c:v>
                </c:pt>
                <c:pt idx="31">
                  <c:v>445</c:v>
                </c:pt>
                <c:pt idx="32">
                  <c:v>890</c:v>
                </c:pt>
                <c:pt idx="33">
                  <c:v>915</c:v>
                </c:pt>
                <c:pt idx="35">
                  <c:v>160</c:v>
                </c:pt>
                <c:pt idx="36">
                  <c:v>195</c:v>
                </c:pt>
                <c:pt idx="37">
                  <c:v>1000</c:v>
                </c:pt>
                <c:pt idx="39">
                  <c:v>25</c:v>
                </c:pt>
                <c:pt idx="40">
                  <c:v>185</c:v>
                </c:pt>
                <c:pt idx="41">
                  <c:v>545</c:v>
                </c:pt>
                <c:pt idx="42">
                  <c:v>570</c:v>
                </c:pt>
                <c:pt idx="43">
                  <c:v>1095</c:v>
                </c:pt>
                <c:pt idx="44">
                  <c:v>1240</c:v>
                </c:pt>
                <c:pt idx="45">
                  <c:v>1620</c:v>
                </c:pt>
                <c:pt idx="47">
                  <c:v>20</c:v>
                </c:pt>
                <c:pt idx="48">
                  <c:v>60</c:v>
                </c:pt>
                <c:pt idx="49">
                  <c:v>515</c:v>
                </c:pt>
                <c:pt idx="50">
                  <c:v>565</c:v>
                </c:pt>
                <c:pt idx="51">
                  <c:v>175</c:v>
                </c:pt>
                <c:pt idx="52">
                  <c:v>940</c:v>
                </c:pt>
                <c:pt idx="53">
                  <c:v>1000</c:v>
                </c:pt>
                <c:pt idx="55">
                  <c:v>605</c:v>
                </c:pt>
                <c:pt idx="56">
                  <c:v>755</c:v>
                </c:pt>
                <c:pt idx="57">
                  <c:v>780</c:v>
                </c:pt>
                <c:pt idx="58">
                  <c:v>855</c:v>
                </c:pt>
                <c:pt idx="59">
                  <c:v>1415</c:v>
                </c:pt>
                <c:pt idx="61">
                  <c:v>405</c:v>
                </c:pt>
                <c:pt idx="62">
                  <c:v>425</c:v>
                </c:pt>
                <c:pt idx="63">
                  <c:v>475</c:v>
                </c:pt>
                <c:pt idx="64">
                  <c:v>880</c:v>
                </c:pt>
                <c:pt idx="65">
                  <c:v>1200</c:v>
                </c:pt>
                <c:pt idx="66">
                  <c:v>1230</c:v>
                </c:pt>
                <c:pt idx="68">
                  <c:v>815</c:v>
                </c:pt>
                <c:pt idx="69">
                  <c:v>1100</c:v>
                </c:pt>
                <c:pt idx="71">
                  <c:v>735</c:v>
                </c:pt>
                <c:pt idx="72">
                  <c:v>990</c:v>
                </c:pt>
                <c:pt idx="73">
                  <c:v>1350</c:v>
                </c:pt>
                <c:pt idx="74">
                  <c:v>525</c:v>
                </c:pt>
                <c:pt idx="75">
                  <c:v>640</c:v>
                </c:pt>
                <c:pt idx="76">
                  <c:v>495</c:v>
                </c:pt>
                <c:pt idx="77">
                  <c:v>755</c:v>
                </c:pt>
                <c:pt idx="78">
                  <c:v>1085</c:v>
                </c:pt>
                <c:pt idx="79">
                  <c:v>1645</c:v>
                </c:pt>
                <c:pt idx="80">
                  <c:v>1945</c:v>
                </c:pt>
                <c:pt idx="82">
                  <c:v>70</c:v>
                </c:pt>
                <c:pt idx="83">
                  <c:v>135</c:v>
                </c:pt>
                <c:pt idx="84">
                  <c:v>325</c:v>
                </c:pt>
                <c:pt idx="85">
                  <c:v>415</c:v>
                </c:pt>
                <c:pt idx="86">
                  <c:v>435</c:v>
                </c:pt>
                <c:pt idx="87">
                  <c:v>480</c:v>
                </c:pt>
                <c:pt idx="88">
                  <c:v>1380</c:v>
                </c:pt>
                <c:pt idx="90">
                  <c:v>370</c:v>
                </c:pt>
                <c:pt idx="91">
                  <c:v>775</c:v>
                </c:pt>
                <c:pt idx="92">
                  <c:v>1315</c:v>
                </c:pt>
                <c:pt idx="93">
                  <c:v>1720</c:v>
                </c:pt>
                <c:pt idx="94">
                  <c:v>170</c:v>
                </c:pt>
                <c:pt idx="96">
                  <c:v>395</c:v>
                </c:pt>
                <c:pt idx="97">
                  <c:v>700</c:v>
                </c:pt>
                <c:pt idx="98">
                  <c:v>1030</c:v>
                </c:pt>
                <c:pt idx="99">
                  <c:v>1235</c:v>
                </c:pt>
                <c:pt idx="101">
                  <c:v>225</c:v>
                </c:pt>
                <c:pt idx="102">
                  <c:v>1135</c:v>
                </c:pt>
                <c:pt idx="104">
                  <c:v>30</c:v>
                </c:pt>
                <c:pt idx="105">
                  <c:v>225</c:v>
                </c:pt>
                <c:pt idx="106">
                  <c:v>315</c:v>
                </c:pt>
                <c:pt idx="107">
                  <c:v>760</c:v>
                </c:pt>
                <c:pt idx="108">
                  <c:v>780</c:v>
                </c:pt>
                <c:pt idx="109">
                  <c:v>1120</c:v>
                </c:pt>
                <c:pt idx="110">
                  <c:v>1365</c:v>
                </c:pt>
                <c:pt idx="112">
                  <c:v>450</c:v>
                </c:pt>
                <c:pt idx="113">
                  <c:v>765</c:v>
                </c:pt>
                <c:pt idx="115">
                  <c:v>1290</c:v>
                </c:pt>
                <c:pt idx="117">
                  <c:v>120</c:v>
                </c:pt>
                <c:pt idx="118">
                  <c:v>295</c:v>
                </c:pt>
                <c:pt idx="119">
                  <c:v>525</c:v>
                </c:pt>
                <c:pt idx="120">
                  <c:v>690</c:v>
                </c:pt>
                <c:pt idx="121">
                  <c:v>755</c:v>
                </c:pt>
                <c:pt idx="122">
                  <c:v>1275</c:v>
                </c:pt>
                <c:pt idx="123">
                  <c:v>2075</c:v>
                </c:pt>
                <c:pt idx="125">
                  <c:v>300</c:v>
                </c:pt>
                <c:pt idx="126">
                  <c:v>375</c:v>
                </c:pt>
                <c:pt idx="127">
                  <c:v>400</c:v>
                </c:pt>
                <c:pt idx="128">
                  <c:v>1540</c:v>
                </c:pt>
                <c:pt idx="129">
                  <c:v>190</c:v>
                </c:pt>
                <c:pt idx="130">
                  <c:v>515</c:v>
                </c:pt>
                <c:pt idx="132">
                  <c:v>85</c:v>
                </c:pt>
                <c:pt idx="133">
                  <c:v>125</c:v>
                </c:pt>
                <c:pt idx="135">
                  <c:v>175</c:v>
                </c:pt>
                <c:pt idx="136">
                  <c:v>260</c:v>
                </c:pt>
                <c:pt idx="137">
                  <c:v>565</c:v>
                </c:pt>
                <c:pt idx="138">
                  <c:v>770</c:v>
                </c:pt>
                <c:pt idx="139">
                  <c:v>835</c:v>
                </c:pt>
                <c:pt idx="140">
                  <c:v>1175</c:v>
                </c:pt>
                <c:pt idx="142">
                  <c:v>205</c:v>
                </c:pt>
                <c:pt idx="143">
                  <c:v>425</c:v>
                </c:pt>
                <c:pt idx="145">
                  <c:v>195</c:v>
                </c:pt>
                <c:pt idx="146">
                  <c:v>1155</c:v>
                </c:pt>
                <c:pt idx="147">
                  <c:v>1265</c:v>
                </c:pt>
                <c:pt idx="149">
                  <c:v>560</c:v>
                </c:pt>
                <c:pt idx="150">
                  <c:v>1350</c:v>
                </c:pt>
                <c:pt idx="151">
                  <c:v>190</c:v>
                </c:pt>
                <c:pt idx="152">
                  <c:v>405</c:v>
                </c:pt>
                <c:pt idx="153">
                  <c:v>705</c:v>
                </c:pt>
                <c:pt idx="154">
                  <c:v>800</c:v>
                </c:pt>
                <c:pt idx="155">
                  <c:v>965</c:v>
                </c:pt>
                <c:pt idx="156">
                  <c:v>1040</c:v>
                </c:pt>
                <c:pt idx="157">
                  <c:v>1475</c:v>
                </c:pt>
                <c:pt idx="158">
                  <c:v>1755</c:v>
                </c:pt>
                <c:pt idx="160">
                  <c:v>540</c:v>
                </c:pt>
                <c:pt idx="161">
                  <c:v>605</c:v>
                </c:pt>
                <c:pt idx="162">
                  <c:v>1360</c:v>
                </c:pt>
                <c:pt idx="163">
                  <c:v>355</c:v>
                </c:pt>
                <c:pt idx="164">
                  <c:v>860</c:v>
                </c:pt>
                <c:pt idx="165">
                  <c:v>435</c:v>
                </c:pt>
                <c:pt idx="166">
                  <c:v>2125</c:v>
                </c:pt>
                <c:pt idx="168">
                  <c:v>400</c:v>
                </c:pt>
                <c:pt idx="169">
                  <c:v>1490</c:v>
                </c:pt>
                <c:pt idx="170">
                  <c:v>525</c:v>
                </c:pt>
                <c:pt idx="171">
                  <c:v>575</c:v>
                </c:pt>
                <c:pt idx="172">
                  <c:v>1045</c:v>
                </c:pt>
                <c:pt idx="174">
                  <c:v>135</c:v>
                </c:pt>
                <c:pt idx="175">
                  <c:v>655</c:v>
                </c:pt>
                <c:pt idx="176">
                  <c:v>1365</c:v>
                </c:pt>
                <c:pt idx="178">
                  <c:v>75</c:v>
                </c:pt>
                <c:pt idx="179">
                  <c:v>785</c:v>
                </c:pt>
                <c:pt idx="181">
                  <c:v>15</c:v>
                </c:pt>
                <c:pt idx="182">
                  <c:v>65</c:v>
                </c:pt>
                <c:pt idx="183">
                  <c:v>90</c:v>
                </c:pt>
                <c:pt idx="184">
                  <c:v>880</c:v>
                </c:pt>
                <c:pt idx="185">
                  <c:v>940</c:v>
                </c:pt>
                <c:pt idx="186">
                  <c:v>945</c:v>
                </c:pt>
                <c:pt idx="187">
                  <c:v>395</c:v>
                </c:pt>
                <c:pt idx="188">
                  <c:v>595</c:v>
                </c:pt>
                <c:pt idx="189">
                  <c:v>945</c:v>
                </c:pt>
                <c:pt idx="191">
                  <c:v>190</c:v>
                </c:pt>
                <c:pt idx="192">
                  <c:v>365</c:v>
                </c:pt>
                <c:pt idx="193">
                  <c:v>835</c:v>
                </c:pt>
                <c:pt idx="194">
                  <c:v>1680</c:v>
                </c:pt>
                <c:pt idx="196">
                  <c:v>75</c:v>
                </c:pt>
                <c:pt idx="197">
                  <c:v>720</c:v>
                </c:pt>
                <c:pt idx="198">
                  <c:v>1815</c:v>
                </c:pt>
                <c:pt idx="200">
                  <c:v>5</c:v>
                </c:pt>
                <c:pt idx="201">
                  <c:v>485</c:v>
                </c:pt>
                <c:pt idx="202">
                  <c:v>530</c:v>
                </c:pt>
                <c:pt idx="203">
                  <c:v>1500</c:v>
                </c:pt>
                <c:pt idx="205">
                  <c:v>45</c:v>
                </c:pt>
                <c:pt idx="206">
                  <c:v>445</c:v>
                </c:pt>
                <c:pt idx="207">
                  <c:v>630</c:v>
                </c:pt>
                <c:pt idx="208">
                  <c:v>910</c:v>
                </c:pt>
                <c:pt idx="209">
                  <c:v>915</c:v>
                </c:pt>
                <c:pt idx="210">
                  <c:v>20</c:v>
                </c:pt>
                <c:pt idx="211">
                  <c:v>330</c:v>
                </c:pt>
                <c:pt idx="212">
                  <c:v>860</c:v>
                </c:pt>
                <c:pt idx="213">
                  <c:v>945</c:v>
                </c:pt>
                <c:pt idx="216">
                  <c:v>385</c:v>
                </c:pt>
                <c:pt idx="217">
                  <c:v>590</c:v>
                </c:pt>
                <c:pt idx="218">
                  <c:v>1535</c:v>
                </c:pt>
                <c:pt idx="220">
                  <c:v>110</c:v>
                </c:pt>
                <c:pt idx="221">
                  <c:v>280</c:v>
                </c:pt>
                <c:pt idx="222">
                  <c:v>645</c:v>
                </c:pt>
                <c:pt idx="223">
                  <c:v>750</c:v>
                </c:pt>
                <c:pt idx="225">
                  <c:v>195</c:v>
                </c:pt>
                <c:pt idx="226">
                  <c:v>300</c:v>
                </c:pt>
                <c:pt idx="227">
                  <c:v>460</c:v>
                </c:pt>
                <c:pt idx="228">
                  <c:v>690</c:v>
                </c:pt>
                <c:pt idx="229">
                  <c:v>810</c:v>
                </c:pt>
                <c:pt idx="230">
                  <c:v>825</c:v>
                </c:pt>
                <c:pt idx="232">
                  <c:v>210</c:v>
                </c:pt>
                <c:pt idx="233">
                  <c:v>645</c:v>
                </c:pt>
                <c:pt idx="234">
                  <c:v>785</c:v>
                </c:pt>
                <c:pt idx="235">
                  <c:v>1170</c:v>
                </c:pt>
                <c:pt idx="237">
                  <c:v>375</c:v>
                </c:pt>
                <c:pt idx="238">
                  <c:v>420</c:v>
                </c:pt>
                <c:pt idx="239">
                  <c:v>585</c:v>
                </c:pt>
                <c:pt idx="240">
                  <c:v>1380</c:v>
                </c:pt>
                <c:pt idx="241">
                  <c:v>730</c:v>
                </c:pt>
                <c:pt idx="242">
                  <c:v>785</c:v>
                </c:pt>
                <c:pt idx="244">
                  <c:v>140</c:v>
                </c:pt>
                <c:pt idx="245">
                  <c:v>370</c:v>
                </c:pt>
                <c:pt idx="246">
                  <c:v>565</c:v>
                </c:pt>
                <c:pt idx="248">
                  <c:v>405</c:v>
                </c:pt>
                <c:pt idx="250">
                  <c:v>80</c:v>
                </c:pt>
                <c:pt idx="251">
                  <c:v>505</c:v>
                </c:pt>
                <c:pt idx="252">
                  <c:v>1110</c:v>
                </c:pt>
                <c:pt idx="253">
                  <c:v>1655</c:v>
                </c:pt>
                <c:pt idx="254">
                  <c:v>30</c:v>
                </c:pt>
                <c:pt idx="255">
                  <c:v>150</c:v>
                </c:pt>
                <c:pt idx="256">
                  <c:v>710</c:v>
                </c:pt>
                <c:pt idx="257">
                  <c:v>795</c:v>
                </c:pt>
                <c:pt idx="258">
                  <c:v>815</c:v>
                </c:pt>
                <c:pt idx="259">
                  <c:v>830</c:v>
                </c:pt>
                <c:pt idx="260">
                  <c:v>875</c:v>
                </c:pt>
                <c:pt idx="262">
                  <c:v>15</c:v>
                </c:pt>
                <c:pt idx="263">
                  <c:v>110</c:v>
                </c:pt>
                <c:pt idx="264">
                  <c:v>500</c:v>
                </c:pt>
                <c:pt idx="265">
                  <c:v>1145</c:v>
                </c:pt>
                <c:pt idx="267">
                  <c:v>25</c:v>
                </c:pt>
                <c:pt idx="268">
                  <c:v>570</c:v>
                </c:pt>
                <c:pt idx="269">
                  <c:v>1420</c:v>
                </c:pt>
                <c:pt idx="271">
                  <c:v>130</c:v>
                </c:pt>
                <c:pt idx="272">
                  <c:v>250</c:v>
                </c:pt>
                <c:pt idx="273">
                  <c:v>490</c:v>
                </c:pt>
                <c:pt idx="274">
                  <c:v>515</c:v>
                </c:pt>
                <c:pt idx="275">
                  <c:v>1315</c:v>
                </c:pt>
                <c:pt idx="276">
                  <c:v>80</c:v>
                </c:pt>
                <c:pt idx="277">
                  <c:v>345</c:v>
                </c:pt>
                <c:pt idx="278">
                  <c:v>745</c:v>
                </c:pt>
                <c:pt idx="280">
                  <c:v>370</c:v>
                </c:pt>
                <c:pt idx="281">
                  <c:v>775</c:v>
                </c:pt>
                <c:pt idx="283">
                  <c:v>285</c:v>
                </c:pt>
                <c:pt idx="284">
                  <c:v>380</c:v>
                </c:pt>
                <c:pt idx="286">
                  <c:v>200</c:v>
                </c:pt>
                <c:pt idx="287">
                  <c:v>765</c:v>
                </c:pt>
                <c:pt idx="288">
                  <c:v>785</c:v>
                </c:pt>
                <c:pt idx="289">
                  <c:v>955</c:v>
                </c:pt>
                <c:pt idx="290">
                  <c:v>1315</c:v>
                </c:pt>
                <c:pt idx="292">
                  <c:v>145</c:v>
                </c:pt>
                <c:pt idx="293">
                  <c:v>590</c:v>
                </c:pt>
                <c:pt idx="294">
                  <c:v>1080</c:v>
                </c:pt>
                <c:pt idx="296">
                  <c:v>280</c:v>
                </c:pt>
                <c:pt idx="297">
                  <c:v>335</c:v>
                </c:pt>
                <c:pt idx="298">
                  <c:v>830</c:v>
                </c:pt>
                <c:pt idx="300">
                  <c:v>125</c:v>
                </c:pt>
                <c:pt idx="301">
                  <c:v>140</c:v>
                </c:pt>
                <c:pt idx="302">
                  <c:v>505</c:v>
                </c:pt>
                <c:pt idx="303">
                  <c:v>730</c:v>
                </c:pt>
                <c:pt idx="305">
                  <c:v>455</c:v>
                </c:pt>
                <c:pt idx="306">
                  <c:v>775</c:v>
                </c:pt>
                <c:pt idx="307">
                  <c:v>1385</c:v>
                </c:pt>
                <c:pt idx="309">
                  <c:v>530</c:v>
                </c:pt>
                <c:pt idx="310">
                  <c:v>695</c:v>
                </c:pt>
                <c:pt idx="311">
                  <c:v>775</c:v>
                </c:pt>
                <c:pt idx="312">
                  <c:v>790</c:v>
                </c:pt>
                <c:pt idx="313">
                  <c:v>965</c:v>
                </c:pt>
                <c:pt idx="314">
                  <c:v>1140</c:v>
                </c:pt>
                <c:pt idx="316">
                  <c:v>15</c:v>
                </c:pt>
                <c:pt idx="317">
                  <c:v>195</c:v>
                </c:pt>
                <c:pt idx="318">
                  <c:v>255</c:v>
                </c:pt>
                <c:pt idx="319">
                  <c:v>440</c:v>
                </c:pt>
                <c:pt idx="320">
                  <c:v>785</c:v>
                </c:pt>
                <c:pt idx="321">
                  <c:v>1115</c:v>
                </c:pt>
                <c:pt idx="322">
                  <c:v>1615</c:v>
                </c:pt>
                <c:pt idx="323">
                  <c:v>175</c:v>
                </c:pt>
                <c:pt idx="324">
                  <c:v>270</c:v>
                </c:pt>
                <c:pt idx="325">
                  <c:v>765</c:v>
                </c:pt>
                <c:pt idx="327">
                  <c:v>85</c:v>
                </c:pt>
                <c:pt idx="328">
                  <c:v>185</c:v>
                </c:pt>
                <c:pt idx="329">
                  <c:v>525</c:v>
                </c:pt>
                <c:pt idx="330">
                  <c:v>610</c:v>
                </c:pt>
                <c:pt idx="331">
                  <c:v>710</c:v>
                </c:pt>
                <c:pt idx="332">
                  <c:v>875</c:v>
                </c:pt>
                <c:pt idx="333">
                  <c:v>1220</c:v>
                </c:pt>
                <c:pt idx="335">
                  <c:v>865</c:v>
                </c:pt>
                <c:pt idx="337">
                  <c:v>365</c:v>
                </c:pt>
                <c:pt idx="338">
                  <c:v>390</c:v>
                </c:pt>
                <c:pt idx="340">
                  <c:v>365</c:v>
                </c:pt>
                <c:pt idx="341">
                  <c:v>420</c:v>
                </c:pt>
                <c:pt idx="342">
                  <c:v>640</c:v>
                </c:pt>
                <c:pt idx="344">
                  <c:v>325</c:v>
                </c:pt>
                <c:pt idx="346">
                  <c:v>270</c:v>
                </c:pt>
                <c:pt idx="347">
                  <c:v>1300</c:v>
                </c:pt>
                <c:pt idx="348">
                  <c:v>185</c:v>
                </c:pt>
                <c:pt idx="349">
                  <c:v>395</c:v>
                </c:pt>
                <c:pt idx="350">
                  <c:v>415</c:v>
                </c:pt>
                <c:pt idx="351">
                  <c:v>935</c:v>
                </c:pt>
                <c:pt idx="352">
                  <c:v>975</c:v>
                </c:pt>
                <c:pt idx="354">
                  <c:v>20</c:v>
                </c:pt>
                <c:pt idx="355">
                  <c:v>60</c:v>
                </c:pt>
                <c:pt idx="356">
                  <c:v>570</c:v>
                </c:pt>
                <c:pt idx="357">
                  <c:v>1550</c:v>
                </c:pt>
                <c:pt idx="358">
                  <c:v>370</c:v>
                </c:pt>
                <c:pt idx="359">
                  <c:v>950</c:v>
                </c:pt>
                <c:pt idx="360">
                  <c:v>1075</c:v>
                </c:pt>
                <c:pt idx="361">
                  <c:v>1490</c:v>
                </c:pt>
                <c:pt idx="363">
                  <c:v>310</c:v>
                </c:pt>
                <c:pt idx="364">
                  <c:v>85</c:v>
                </c:pt>
                <c:pt idx="365">
                  <c:v>315</c:v>
                </c:pt>
                <c:pt idx="366">
                  <c:v>375</c:v>
                </c:pt>
                <c:pt idx="367">
                  <c:v>750</c:v>
                </c:pt>
                <c:pt idx="368">
                  <c:v>1010</c:v>
                </c:pt>
                <c:pt idx="370">
                  <c:v>65</c:v>
                </c:pt>
                <c:pt idx="371">
                  <c:v>180</c:v>
                </c:pt>
                <c:pt idx="372">
                  <c:v>370</c:v>
                </c:pt>
                <c:pt idx="373">
                  <c:v>480</c:v>
                </c:pt>
                <c:pt idx="374">
                  <c:v>975</c:v>
                </c:pt>
                <c:pt idx="376">
                  <c:v>80</c:v>
                </c:pt>
                <c:pt idx="377">
                  <c:v>355</c:v>
                </c:pt>
                <c:pt idx="378">
                  <c:v>470</c:v>
                </c:pt>
                <c:pt idx="379">
                  <c:v>1135</c:v>
                </c:pt>
                <c:pt idx="380">
                  <c:v>1790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B-4521-99F1-8D0DD38B7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679367"/>
        <c:axId val="760796679"/>
      </c:lineChart>
      <c:catAx>
        <c:axId val="85767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96679"/>
        <c:crosses val="autoZero"/>
        <c:auto val="1"/>
        <c:lblAlgn val="ctr"/>
        <c:lblOffset val="100"/>
        <c:noMultiLvlLbl val="0"/>
      </c:catAx>
      <c:valAx>
        <c:axId val="76079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7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project.xlsx]Purchase Modes!PivotTable1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modes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'Purchase Modes'!$B$1</c:f>
              <c:strCache>
                <c:ptCount val="1"/>
                <c:pt idx="0">
                  <c:v>Sum of Purchase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 Modes'!$A$2:$A$6</c:f>
              <c:strCache>
                <c:ptCount val="4"/>
                <c:pt idx="0">
                  <c:v>Phone in</c:v>
                </c:pt>
                <c:pt idx="1">
                  <c:v>In store</c:v>
                </c:pt>
                <c:pt idx="2">
                  <c:v>App</c:v>
                </c:pt>
                <c:pt idx="3">
                  <c:v>Website</c:v>
                </c:pt>
              </c:strCache>
            </c:strRef>
          </c:cat>
          <c:val>
            <c:numRef>
              <c:f>'Purchase Modes'!$B$2:$B$6</c:f>
              <c:numCache>
                <c:formatCode>General</c:formatCode>
                <c:ptCount val="4"/>
                <c:pt idx="0">
                  <c:v>14575</c:v>
                </c:pt>
                <c:pt idx="1">
                  <c:v>56070</c:v>
                </c:pt>
                <c:pt idx="2">
                  <c:v>61835</c:v>
                </c:pt>
                <c:pt idx="3">
                  <c:v>81070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0-48B6-9AB8-F778CDC6D37D}"/>
            </c:ext>
          </c:extLst>
        </c:ser>
        <c:ser>
          <c:idx val="1"/>
          <c:order val="1"/>
          <c:tx>
            <c:strRef>
              <c:f>'Purchase Modes'!$C$1</c:f>
              <c:strCache>
                <c:ptCount val="1"/>
                <c:pt idx="0">
                  <c:v>Count of Txn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 Modes'!$A$2:$A$6</c:f>
              <c:strCache>
                <c:ptCount val="4"/>
                <c:pt idx="0">
                  <c:v>Phone in</c:v>
                </c:pt>
                <c:pt idx="1">
                  <c:v>In store</c:v>
                </c:pt>
                <c:pt idx="2">
                  <c:v>App</c:v>
                </c:pt>
                <c:pt idx="3">
                  <c:v>Website</c:v>
                </c:pt>
              </c:strCache>
            </c:strRef>
          </c:cat>
          <c:val>
            <c:numRef>
              <c:f>'Purchase Modes'!$C$2:$C$6</c:f>
              <c:numCache>
                <c:formatCode>General</c:formatCode>
                <c:ptCount val="4"/>
                <c:pt idx="0">
                  <c:v>26</c:v>
                </c:pt>
                <c:pt idx="1">
                  <c:v>105</c:v>
                </c:pt>
                <c:pt idx="2">
                  <c:v>130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00-48B6-9AB8-F778CDC6D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3117831"/>
        <c:axId val="903119879"/>
      </c:barChart>
      <c:catAx>
        <c:axId val="903117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119879"/>
        <c:crosses val="autoZero"/>
        <c:auto val="1"/>
        <c:lblAlgn val="ctr"/>
        <c:lblOffset val="100"/>
        <c:noMultiLvlLbl val="0"/>
      </c:catAx>
      <c:valAx>
        <c:axId val="903119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11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171450</xdr:rowOff>
    </xdr:from>
    <xdr:to>
      <xdr:col>12</xdr:col>
      <xdr:colOff>581025</xdr:colOff>
      <xdr:row>21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A3C767-54D0-9AD6-AE8A-1C6799B86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1571625</xdr:colOff>
      <xdr:row>0</xdr:row>
      <xdr:rowOff>0</xdr:rowOff>
    </xdr:from>
    <xdr:to>
      <xdr:col>22</xdr:col>
      <xdr:colOff>209550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AB45EA-F2F3-FCB9-6768-BEFFA9420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1</xdr:row>
      <xdr:rowOff>19050</xdr:rowOff>
    </xdr:from>
    <xdr:to>
      <xdr:col>4</xdr:col>
      <xdr:colOff>266700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urchase Mode">
              <a:extLst>
                <a:ext uri="{FF2B5EF4-FFF2-40B4-BE49-F238E27FC236}">
                  <a16:creationId xmlns:a16="http://schemas.microsoft.com/office/drawing/2014/main" id="{2B72F49A-D441-B435-2FC6-2E40EE59DC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825" y="209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0.992607638887" createdVersion="8" refreshedVersion="8" minRefreshableVersion="3" recordCount="443" xr:uid="{E1A1B857-F9FF-41A0-8B97-71E66F141055}">
  <cacheSource type="worksheet">
    <worksheetSource name="Sales"/>
  </cacheSource>
  <cacheFields count="10">
    <cacheField name="Txn ID" numFmtId="0">
      <sharedItems count="443">
        <s v="TX00-01"/>
        <s v="TX00-02"/>
        <s v="TX00-03"/>
        <s v="TX00-04"/>
        <s v="TX00-05"/>
        <s v="TX00-06"/>
        <s v="TX00-07"/>
        <s v="TX00-08"/>
        <s v="TX00-09"/>
        <s v="TX00-10"/>
        <s v="TX00-11"/>
        <s v="TX00-12"/>
        <s v="TX00-13"/>
        <s v="TX00-14"/>
        <s v="TX00-15"/>
        <s v="TX00-16"/>
        <s v="TX00-17"/>
        <s v="TX00-18"/>
        <s v="TX00-19"/>
        <s v="TX00-20"/>
        <s v="TX00-21"/>
        <s v="TX00-22"/>
        <s v="TX00-23"/>
        <s v="TX00-24"/>
        <s v="TX00-25"/>
        <s v="TX00-26"/>
        <s v="TX00-27"/>
        <s v="TX00-28"/>
        <s v="TX00-29"/>
        <s v="TX00-30"/>
        <s v="TX00-31"/>
        <s v="TX00-32"/>
        <s v="TX00-33"/>
        <s v="TX00-34"/>
        <s v="TX00-35"/>
        <s v="TX00-36"/>
        <s v="TX00-37"/>
        <s v="TX00-38"/>
        <s v="TX00-39"/>
        <s v="TX00-40"/>
        <s v="TX00-41"/>
        <s v="TX00-42"/>
        <s v="TX00-43"/>
        <s v="TX00-44"/>
        <s v="TX00-45"/>
        <s v="TX00-46"/>
        <s v="TX00-47"/>
        <s v="TX00-48"/>
        <s v="TX00-49"/>
        <s v="TX00-50"/>
        <s v="TX00-51"/>
        <s v="TX00-52"/>
        <s v="TX00-53"/>
        <s v="TX00-54"/>
        <s v="TX00-55"/>
        <s v="TX00-56"/>
        <s v="TX00-57"/>
        <s v="TX00-58"/>
        <s v="TX00-59"/>
        <s v="TX00-60"/>
        <s v="TX00-61"/>
        <s v="TX00-62"/>
        <s v="TX00-63"/>
        <s v="TX00-64"/>
        <s v="TX00-65"/>
        <s v="TX00-66"/>
        <s v="TX00-67"/>
        <s v="TX00-68"/>
        <s v="TX00-69"/>
        <s v="TX00-70"/>
        <s v="TX00-71"/>
        <s v="TX00-72"/>
        <s v="TX00-73"/>
        <s v="TX00-74"/>
        <s v="TX00-75"/>
        <s v="TX00-76"/>
        <s v="TX00-77"/>
        <s v="TX00-78"/>
        <s v="TX00-79"/>
        <s v="TX00-80"/>
        <s v="TX00-81"/>
        <s v="TX00-82"/>
        <s v="TX00-83"/>
        <s v="TX00-84"/>
        <s v="TX00-85"/>
        <s v="TX00-86"/>
        <s v="TX00-87"/>
        <s v="TX00-88"/>
        <s v="TX00-89"/>
        <s v="TX00-90"/>
        <s v="TX00-91"/>
        <s v="TX00-92"/>
        <s v="TX00-93"/>
        <s v="TX00-94"/>
        <s v="TX00-95"/>
        <s v="TX00-96"/>
        <s v="TX00-97"/>
        <s v="TX00-98"/>
        <s v="TX00-99"/>
        <s v="TX01-00"/>
        <s v="TX01-01"/>
        <s v="TX01-02"/>
        <s v="TX01-03"/>
        <s v="TX01-04"/>
        <s v="TX01-05"/>
        <s v="TX01-06"/>
        <s v="TX01-07"/>
        <s v="TX01-08"/>
        <s v="TX01-09"/>
        <s v="TX01-10"/>
        <s v="TX01-11"/>
        <s v="TX01-12"/>
        <s v="TX01-13"/>
        <s v="TX01-14"/>
        <s v="TX01-15"/>
        <s v="TX01-16"/>
        <s v="TX01-17"/>
        <s v="TX01-18"/>
        <s v="TX01-19"/>
        <s v="TX01-20"/>
        <s v="TX01-21"/>
        <s v="TX01-22"/>
        <s v="TX01-23"/>
        <s v="TX01-24"/>
        <s v="TX01-25"/>
        <s v="TX01-26"/>
        <s v="TX01-27"/>
        <s v="TX01-28"/>
        <s v="TX01-29"/>
        <s v="TX01-30"/>
        <s v="TX01-31"/>
        <s v="TX01-32"/>
        <s v="TX01-33"/>
        <s v="TX01-34"/>
        <s v="TX01-35"/>
        <s v="TX01-36"/>
        <s v="TX01-37"/>
        <s v="TX01-38"/>
        <s v="TX01-39"/>
        <s v="TX01-40"/>
        <s v="TX01-41"/>
        <s v="TX01-42"/>
        <s v="TX01-43"/>
        <s v="TX01-44"/>
        <s v="TX01-45"/>
        <s v="TX01-46"/>
        <s v="TX01-47"/>
        <s v="TX01-48"/>
        <s v="TX01-49"/>
        <s v="TX01-50"/>
        <s v="TX01-51"/>
        <s v="TX01-52"/>
        <s v="TX01-53"/>
        <s v="TX01-54"/>
        <s v="TX01-55"/>
        <s v="TX01-56"/>
        <s v="TX01-57"/>
        <s v="TX01-58"/>
        <s v="TX01-59"/>
        <s v="TX01-60"/>
        <s v="TX01-61"/>
        <s v="TX01-62"/>
        <s v="TX01-63"/>
        <s v="TX01-64"/>
        <s v="TX01-65"/>
        <s v="TX01-66"/>
        <s v="TX01-67"/>
        <s v="TX01-68"/>
        <s v="TX01-69"/>
        <s v="TX01-70"/>
        <s v="TX01-71"/>
        <s v="TX01-72"/>
        <s v="TX01-73"/>
        <s v="TX01-74"/>
        <s v="TX01-75"/>
        <s v="TX01-76"/>
        <s v="TX01-77"/>
        <s v="TX01-78"/>
        <s v="TX01-79"/>
        <s v="TX01-80"/>
        <s v="TX01-81"/>
        <s v="TX01-82"/>
        <s v="TX01-83"/>
        <s v="TX01-84"/>
        <s v="TX01-85"/>
        <s v="TX01-86"/>
        <s v="TX01-87"/>
        <s v="TX01-88"/>
        <s v="TX01-89"/>
        <s v="TX01-90"/>
        <s v="TX01-91"/>
        <s v="TX01-92"/>
        <s v="TX01-93"/>
        <s v="TX01-94"/>
        <s v="TX01-95"/>
        <s v="TX01-96"/>
        <s v="TX01-97"/>
        <s v="TX01-98"/>
        <s v="TX01-99"/>
        <s v="TX02-00"/>
        <s v="TX02-01"/>
        <s v="TX02-02"/>
        <s v="TX02-03"/>
        <s v="TX02-04"/>
        <s v="TX02-05"/>
        <s v="TX02-06"/>
        <s v="TX02-07"/>
        <s v="TX02-08"/>
        <s v="TX02-09"/>
        <s v="TX02-10"/>
        <s v="TX02-11"/>
        <s v="TX02-12"/>
        <s v="TX02-13"/>
        <s v="TX02-14"/>
        <s v="TX02-15"/>
        <s v="TX02-16"/>
        <s v="TX02-17"/>
        <s v="TX02-18"/>
        <s v="TX02-19"/>
        <s v="TX02-20"/>
        <s v="TX02-21"/>
        <s v="TX02-22"/>
        <s v="TX02-23"/>
        <s v="TX02-24"/>
        <s v="TX02-25"/>
        <s v="TX02-26"/>
        <s v="TX02-27"/>
        <s v="TX02-28"/>
        <s v="TX02-29"/>
        <s v="TX02-30"/>
        <s v="TX02-31"/>
        <s v="TX02-32"/>
        <s v="TX02-33"/>
        <s v="TX02-34"/>
        <s v="TX02-35"/>
        <s v="TX02-36"/>
        <s v="TX02-37"/>
        <s v="TX02-38"/>
        <s v="TX02-39"/>
        <s v="TX02-40"/>
        <s v="TX02-41"/>
        <s v="TX02-42"/>
        <s v="TX02-43"/>
        <s v="TX02-44"/>
        <s v="TX02-45"/>
        <s v="TX02-46"/>
        <s v="TX02-47"/>
        <s v="TX02-48"/>
        <s v="TX02-49"/>
        <s v="TX02-50"/>
        <s v="TX02-51"/>
        <s v="TX02-52"/>
        <s v="TX02-53"/>
        <s v="TX02-54"/>
        <s v="TX02-55"/>
        <s v="TX02-56"/>
        <s v="TX02-57"/>
        <s v="TX02-58"/>
        <s v="TX02-59"/>
        <s v="TX02-60"/>
        <s v="TX02-61"/>
        <s v="TX02-62"/>
        <s v="TX02-63"/>
        <s v="TX02-64"/>
        <s v="TX02-65"/>
        <s v="TX02-66"/>
        <s v="TX02-67"/>
        <s v="TX02-68"/>
        <s v="TX02-69"/>
        <s v="TX02-70"/>
        <s v="TX02-71"/>
        <s v="TX02-72"/>
        <s v="TX02-73"/>
        <s v="TX02-74"/>
        <s v="TX02-75"/>
        <s v="TX02-76"/>
        <s v="TX02-77"/>
        <s v="TX02-78"/>
        <s v="TX02-79"/>
        <s v="TX02-80"/>
        <s v="TX02-81"/>
        <s v="TX02-82"/>
        <s v="TX02-83"/>
        <s v="TX02-84"/>
        <s v="TX02-85"/>
        <s v="TX02-86"/>
        <s v="TX02-87"/>
        <s v="TX02-88"/>
        <s v="TX02-89"/>
        <s v="TX02-90"/>
        <s v="TX02-91"/>
        <s v="TX02-92"/>
        <s v="TX02-93"/>
        <s v="TX02-94"/>
        <s v="TX02-95"/>
        <s v="TX02-96"/>
        <s v="TX02-97"/>
        <s v="TX02-98"/>
        <s v="TX02-99"/>
        <s v="TX03-00"/>
        <s v="TX03-01"/>
        <s v="TX03-02"/>
        <s v="TX03-03"/>
        <s v="TX03-04"/>
        <s v="TX03-05"/>
        <s v="TX03-06"/>
        <s v="TX03-07"/>
        <s v="TX03-08"/>
        <s v="TX03-09"/>
        <s v="TX03-10"/>
        <s v="TX03-11"/>
        <s v="TX03-12"/>
        <s v="TX03-13"/>
        <s v="TX03-14"/>
        <s v="TX03-15"/>
        <s v="TX03-16"/>
        <s v="TX03-17"/>
        <s v="TX03-18"/>
        <s v="TX03-19"/>
        <s v="TX03-20"/>
        <s v="TX03-21"/>
        <s v="TX03-22"/>
        <s v="TX03-23"/>
        <s v="TX03-24"/>
        <s v="TX03-25"/>
        <s v="TX03-26"/>
        <s v="TX03-27"/>
        <s v="TX03-28"/>
        <s v="TX03-29"/>
        <s v="TX03-30"/>
        <s v="TX03-31"/>
        <s v="TX03-32"/>
        <s v="TX03-33"/>
        <s v="TX03-34"/>
        <s v="TX03-35"/>
        <s v="TX03-36"/>
        <s v="TX03-37"/>
        <s v="TX03-38"/>
        <s v="TX03-39"/>
        <s v="TX03-40"/>
        <s v="TX03-41"/>
        <s v="TX03-42"/>
        <s v="TX03-43"/>
        <s v="TX03-44"/>
        <s v="TX03-45"/>
        <s v="TX03-46"/>
        <s v="TX03-47"/>
        <s v="TX03-48"/>
        <s v="TX03-49"/>
        <s v="TX03-50"/>
        <s v="TX03-51"/>
        <s v="TX03-52"/>
        <s v="TX03-53"/>
        <s v="TX03-54"/>
        <s v="TX03-55"/>
        <s v="TX03-56"/>
        <s v="TX03-57"/>
        <s v="TX03-58"/>
        <s v="TX03-59"/>
        <s v="TX03-60"/>
        <s v="TX03-61"/>
        <s v="TX03-62"/>
        <s v="TX03-63"/>
        <s v="TX03-64"/>
        <s v="TX03-65"/>
        <s v="TX03-66"/>
        <s v="TX03-67"/>
        <s v="TX03-68"/>
        <s v="TX03-69"/>
        <s v="TX03-70"/>
        <s v="TX03-71"/>
        <s v="TX03-72"/>
        <s v="TX03-73"/>
        <s v="TX03-74"/>
        <s v="TX03-75"/>
        <s v="TX03-76"/>
        <s v="TX03-77"/>
        <s v="TX03-78"/>
        <s v="TX03-79"/>
        <s v="TX03-80"/>
        <s v="TX03-81"/>
        <s v="TX03-82"/>
        <s v="TX03-83"/>
        <s v="TX03-84"/>
        <s v="TX03-85"/>
        <s v="TX03-86"/>
        <s v="TX03-87"/>
        <s v="TX03-88"/>
        <s v="TX03-89"/>
        <s v="TX03-90"/>
        <s v="TX03-91"/>
        <s v="TX03-92"/>
        <s v="TX03-93"/>
        <s v="TX03-94"/>
        <s v="TX03-95"/>
        <s v="TX03-96"/>
        <s v="TX03-97"/>
        <s v="TX03-98"/>
        <s v="TX03-99"/>
        <s v="TX04-00"/>
        <s v="TX04-01"/>
        <s v="TX04-02"/>
        <s v="TX04-03"/>
        <s v="TX04-04"/>
        <s v="TX04-05"/>
        <s v="TX04-06"/>
        <s v="TX04-07"/>
        <s v="TX04-08"/>
        <s v="TX04-09"/>
        <s v="TX04-10"/>
        <s v="TX04-11"/>
        <s v="TX04-12"/>
        <s v="TX04-13"/>
        <s v="TX04-14"/>
        <s v="TX04-15"/>
        <s v="TX04-16"/>
        <s v="TX04-17"/>
        <s v="TX04-18"/>
        <s v="TX04-19"/>
        <s v="TX04-20"/>
        <s v="TX04-21"/>
        <s v="TX04-22"/>
        <s v="TX04-23"/>
        <s v="TX04-24"/>
        <s v="TX04-25"/>
        <s v="TX04-26"/>
        <s v="TX04-27"/>
        <s v="TX04-28"/>
        <s v="TX04-29"/>
        <s v="TX04-30"/>
        <s v="TX04-31"/>
        <s v="TX04-32"/>
        <s v="TX04-33"/>
        <s v="TX04-34"/>
        <s v="TX04-35"/>
        <s v="TX04-36"/>
        <s v="TX04-37"/>
        <s v="TX04-38"/>
        <s v="TX04-39"/>
        <s v="TX04-40"/>
        <s v="TX04-41"/>
        <s v="TX04-42"/>
        <s v="TX04-43"/>
      </sharedItems>
    </cacheField>
    <cacheField name="First Name" numFmtId="0">
      <sharedItems/>
    </cacheField>
    <cacheField name="Last Name" numFmtId="0">
      <sharedItems/>
    </cacheField>
    <cacheField name="Email" numFmtId="0">
      <sharedItems/>
    </cacheField>
    <cacheField name="Job Title" numFmtId="0">
      <sharedItems count="14">
        <s v="Office Assistant"/>
        <s v="Analyst"/>
        <s v="Sales"/>
        <s v="Engineer"/>
        <s v="Professor"/>
        <s v="Tech Support"/>
        <s v="Finance Professional"/>
        <s v="Accountant"/>
        <s v="Doctor"/>
        <s v="HR"/>
        <s v="Administrator"/>
        <s v="Operator"/>
        <s v="Statistician"/>
        <s v="VP"/>
      </sharedItems>
    </cacheField>
    <cacheField name="Product" numFmtId="0">
      <sharedItems count="62">
        <s v="Drinking Coco"/>
        <s v="Honey Caramel Truffle"/>
        <s v="Hazelnut Praline Bars"/>
        <s v="Spicy Special Slims"/>
        <s v="Almond Raspberry Cluster"/>
        <s v="Choco Coated Almonds"/>
        <s v="Gingerbread Spiced Choco"/>
        <s v="Mint Chip Choco"/>
        <s v="Orange Choco"/>
        <s v="Espresso Almond Crunch"/>
        <s v="Organic Choco Syrup"/>
        <s v="Praline-filled Bonbons"/>
        <s v="Velvet Truffle Bites"/>
        <s v="Caramel Stuffed Bars"/>
        <s v="Lemon Poppyseed Zing"/>
        <s v="After Nines"/>
        <s v="Baker's Choco Chips"/>
        <s v="White Choc"/>
        <s v="Sea Salted Toffee Choco"/>
        <s v="85% Dark Bars"/>
        <s v="Raspberry Choco"/>
        <s v="Choco Mint Medley"/>
        <s v="Fruit &amp; Nut Bars"/>
        <s v="Marzipan Delight"/>
        <s v="Milk Bars"/>
        <s v="Almond Butter Munch"/>
        <s v="Dark Cherry Indulgence"/>
        <s v="Peanut Butter Cubes"/>
        <s v="Irish Cream Chocolate"/>
        <s v="Smooth Silky Salty"/>
        <s v="Almond Choco"/>
        <s v="Eclairs"/>
        <s v="Salted Caramel Swirls"/>
        <s v="Dark Chocolate Mousse"/>
        <s v="Manuka Honey Choco"/>
        <s v="Nutty Bliss Bars"/>
        <s v="Smooth Sliky Salty"/>
        <s v="Espresso Bean Blast"/>
        <s v="Chili Cinnamon Twist"/>
        <s v="Blueberry Cheesecake Bliss"/>
        <s v="Pistachio Rose Fusion"/>
        <s v="99% Dark &amp; Pure"/>
        <s v="70% Dark Bites"/>
        <s v="Coconut Almond Joy"/>
        <s v="Marshmallow Caramel Crunch"/>
        <s v="Orange Zest Delight"/>
        <s v="Passionfruit Caramel Bars"/>
        <s v="Honeycomb Crunch Choco"/>
        <s v="Bourbon Vanilla Infusion"/>
        <s v="Pistachio Cardamom Crunch"/>
        <s v="Peanut Brittle Bliss"/>
        <s v="Maple Walnut Delight"/>
        <s v="Coconut Rum Rendezvous"/>
        <s v="Raspberry Cheesecake Swirl"/>
        <s v="50% Dark Bites"/>
        <s v="Mango Tango Delight"/>
        <s v="Cherry Almond Fudge"/>
        <s v="Butterscotch Dream Choco"/>
        <s v="Lavender Honey Ganache"/>
        <s v="Tiramisu Truffle Bites"/>
        <s v="Cappuccino Filled Choco"/>
        <s v="Choco Hazelnut Swirl"/>
      </sharedItems>
    </cacheField>
    <cacheField name="Purchase Mode" numFmtId="0">
      <sharedItems count="4">
        <s v="Website"/>
        <s v="App"/>
        <s v="In store"/>
        <s v="Phone in"/>
      </sharedItems>
    </cacheField>
    <cacheField name="Date" numFmtId="15">
      <sharedItems containsSemiMixedTypes="0" containsNonDate="0" containsDate="1" containsString="0" minDate="2023-12-01T00:00:00" maxDate="2024-02-29T00:00:00" count="88"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</sharedItems>
    </cacheField>
    <cacheField name="Purchase Amount" numFmtId="165">
      <sharedItems containsString="0" containsBlank="1" containsNumber="1" containsInteger="1" minValue="5" maxValue="2125" count="202">
        <m/>
        <n v="930"/>
        <n v="985"/>
        <n v="835"/>
        <n v="535"/>
        <n v="455"/>
        <n v="500"/>
        <n v="390"/>
        <n v="440"/>
        <n v="585"/>
        <n v="895"/>
        <n v="980"/>
        <n v="765"/>
        <n v="1190"/>
        <n v="845"/>
        <n v="275"/>
        <n v="80"/>
        <n v="35"/>
        <n v="820"/>
        <n v="95"/>
        <n v="290"/>
        <n v="1290"/>
        <n v="385"/>
        <n v="60"/>
        <n v="1580"/>
        <n v="695"/>
        <n v="940"/>
        <n v="1730"/>
        <n v="450"/>
        <n v="90"/>
        <n v="990"/>
        <n v="20"/>
        <n v="890"/>
        <n v="915"/>
        <n v="365"/>
        <n v="445"/>
        <n v="160"/>
        <n v="195"/>
        <n v="1000"/>
        <n v="185"/>
        <n v="545"/>
        <n v="1095"/>
        <n v="570"/>
        <n v="1240"/>
        <n v="25"/>
        <n v="1620"/>
        <n v="515"/>
        <n v="565"/>
        <n v="175"/>
        <n v="755"/>
        <n v="1415"/>
        <n v="780"/>
        <n v="855"/>
        <n v="605"/>
        <n v="475"/>
        <n v="405"/>
        <n v="1200"/>
        <n v="425"/>
        <n v="1230"/>
        <n v="880"/>
        <n v="1100"/>
        <n v="815"/>
        <n v="1350"/>
        <n v="735"/>
        <n v="640"/>
        <n v="525"/>
        <n v="1085"/>
        <n v="1945"/>
        <n v="495"/>
        <n v="1645"/>
        <n v="70"/>
        <n v="435"/>
        <n v="480"/>
        <n v="135"/>
        <n v="1380"/>
        <n v="415"/>
        <n v="325"/>
        <n v="370"/>
        <n v="775"/>
        <n v="1315"/>
        <n v="1720"/>
        <n v="170"/>
        <n v="395"/>
        <n v="1030"/>
        <n v="1235"/>
        <n v="700"/>
        <n v="1135"/>
        <n v="225"/>
        <n v="760"/>
        <n v="30"/>
        <n v="1120"/>
        <n v="315"/>
        <n v="1365"/>
        <n v="1275"/>
        <n v="690"/>
        <n v="2075"/>
        <n v="295"/>
        <n v="120"/>
        <n v="300"/>
        <n v="1540"/>
        <n v="400"/>
        <n v="375"/>
        <n v="190"/>
        <n v="85"/>
        <n v="125"/>
        <n v="260"/>
        <n v="1175"/>
        <n v="770"/>
        <n v="205"/>
        <n v="1155"/>
        <n v="1265"/>
        <n v="560"/>
        <n v="1040"/>
        <n v="1475"/>
        <n v="800"/>
        <n v="1755"/>
        <n v="705"/>
        <n v="965"/>
        <n v="1360"/>
        <n v="540"/>
        <n v="355"/>
        <n v="860"/>
        <n v="2125"/>
        <n v="1490"/>
        <n v="1045"/>
        <n v="575"/>
        <n v="655"/>
        <n v="785"/>
        <n v="75"/>
        <n v="65"/>
        <n v="15"/>
        <n v="945"/>
        <n v="595"/>
        <n v="1680"/>
        <n v="1815"/>
        <n v="720"/>
        <n v="485"/>
        <n v="5"/>
        <n v="530"/>
        <n v="1500"/>
        <n v="630"/>
        <n v="910"/>
        <n v="45"/>
        <n v="330"/>
        <n v="1535"/>
        <n v="590"/>
        <n v="645"/>
        <n v="750"/>
        <n v="110"/>
        <n v="280"/>
        <n v="810"/>
        <n v="825"/>
        <n v="460"/>
        <n v="210"/>
        <n v="1170"/>
        <n v="730"/>
        <n v="420"/>
        <n v="140"/>
        <n v="1110"/>
        <n v="1655"/>
        <n v="505"/>
        <n v="830"/>
        <n v="710"/>
        <n v="795"/>
        <n v="875"/>
        <n v="150"/>
        <n v="1145"/>
        <n v="1420"/>
        <n v="130"/>
        <n v="250"/>
        <n v="490"/>
        <n v="345"/>
        <n v="745"/>
        <n v="380"/>
        <n v="285"/>
        <n v="200"/>
        <n v="955"/>
        <n v="1080"/>
        <n v="145"/>
        <n v="335"/>
        <n v="1385"/>
        <n v="1140"/>
        <n v="790"/>
        <n v="1115"/>
        <n v="255"/>
        <n v="1615"/>
        <n v="270"/>
        <n v="1220"/>
        <n v="610"/>
        <n v="865"/>
        <n v="1300"/>
        <n v="975"/>
        <n v="935"/>
        <n v="10"/>
        <n v="1550"/>
        <n v="950"/>
        <n v="1075"/>
        <n v="310"/>
        <n v="1010"/>
        <n v="180"/>
        <n v="470"/>
        <n v="1790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82516823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x v="0"/>
    <s v="Yedukondalu"/>
    <s v="Panditula"/>
    <s v="ypanditula@hugedomains.com"/>
    <x v="0"/>
    <x v="0"/>
    <x v="0"/>
    <x v="0"/>
    <x v="0"/>
    <s v="No"/>
  </r>
  <r>
    <x v="1"/>
    <s v="Ponnan"/>
    <s v="Delhi"/>
    <s v="pdelhi@yale.edu"/>
    <x v="1"/>
    <x v="1"/>
    <x v="1"/>
    <x v="0"/>
    <x v="0"/>
    <s v="No"/>
  </r>
  <r>
    <x v="2"/>
    <s v="Prerana"/>
    <s v="Nishita"/>
    <s v="pnishita5@google.de"/>
    <x v="2"/>
    <x v="2"/>
    <x v="0"/>
    <x v="0"/>
    <x v="1"/>
    <s v="Yes"/>
  </r>
  <r>
    <x v="3"/>
    <s v="Subbarao"/>
    <s v="Malladi"/>
    <s v="smalladi@gmpg.org"/>
    <x v="3"/>
    <x v="3"/>
    <x v="2"/>
    <x v="1"/>
    <x v="0"/>
    <s v="No"/>
  </r>
  <r>
    <x v="4"/>
    <s v="Sarayu"/>
    <s v="Ragunathan"/>
    <s v="sragunathan2@nhs.uk"/>
    <x v="3"/>
    <x v="4"/>
    <x v="2"/>
    <x v="1"/>
    <x v="0"/>
    <s v="No"/>
  </r>
  <r>
    <x v="5"/>
    <s v="Vinanti"/>
    <s v="Choudhari"/>
    <s v="vchoudhari6@businessinsider.com"/>
    <x v="2"/>
    <x v="5"/>
    <x v="0"/>
    <x v="1"/>
    <x v="2"/>
    <s v="Yes"/>
  </r>
  <r>
    <x v="6"/>
    <s v="Parasuramudu"/>
    <s v="Jamakayala"/>
    <s v="pjamakayala@hhs.gov"/>
    <x v="4"/>
    <x v="6"/>
    <x v="0"/>
    <x v="1"/>
    <x v="3"/>
    <s v="Yes"/>
  </r>
  <r>
    <x v="7"/>
    <s v="Fullara"/>
    <s v="Sushanti Mokate"/>
    <s v="fsushanti.mokate8@cisco.com"/>
    <x v="2"/>
    <x v="7"/>
    <x v="0"/>
    <x v="1"/>
    <x v="4"/>
    <s v="Yes"/>
  </r>
  <r>
    <x v="8"/>
    <s v="Hemavati"/>
    <s v="Muthiah"/>
    <s v="hmuthiah@theatlantic.com"/>
    <x v="2"/>
    <x v="8"/>
    <x v="2"/>
    <x v="1"/>
    <x v="5"/>
    <s v="Yes"/>
  </r>
  <r>
    <x v="9"/>
    <s v="Suman"/>
    <s v="Katte"/>
    <s v="skatte@flavors.me"/>
    <x v="2"/>
    <x v="9"/>
    <x v="0"/>
    <x v="1"/>
    <x v="6"/>
    <s v="Yes"/>
  </r>
  <r>
    <x v="10"/>
    <s v="Raghuveer"/>
    <s v="Yettugunna"/>
    <s v="ryettugunna@reddit.com"/>
    <x v="5"/>
    <x v="10"/>
    <x v="0"/>
    <x v="1"/>
    <x v="7"/>
    <s v="Yes"/>
  </r>
  <r>
    <x v="11"/>
    <s v="Chitrasen"/>
    <s v="Laul"/>
    <s v="claul9@multiply.com"/>
    <x v="0"/>
    <x v="11"/>
    <x v="0"/>
    <x v="1"/>
    <x v="8"/>
    <s v="Yes"/>
  </r>
  <r>
    <x v="12"/>
    <s v="Indu"/>
    <s v="Varada Sumedh"/>
    <s v="ivarada.sumedh@stumbleupon.com"/>
    <x v="1"/>
    <x v="12"/>
    <x v="2"/>
    <x v="2"/>
    <x v="9"/>
    <s v="Yes"/>
  </r>
  <r>
    <x v="13"/>
    <s v="Amlankusum"/>
    <s v="Rajabhushan"/>
    <s v="arajabhushan@yandex.ru"/>
    <x v="4"/>
    <x v="7"/>
    <x v="0"/>
    <x v="2"/>
    <x v="10"/>
    <s v="Yes"/>
  </r>
  <r>
    <x v="14"/>
    <s v="Narois"/>
    <s v="Motiwala"/>
    <s v="nmotiwala@oracle.com"/>
    <x v="6"/>
    <x v="13"/>
    <x v="3"/>
    <x v="2"/>
    <x v="11"/>
    <s v="Yes"/>
  </r>
  <r>
    <x v="15"/>
    <s v="Pratigya"/>
    <s v="Rema"/>
    <s v="prema@hubpages.com"/>
    <x v="7"/>
    <x v="14"/>
    <x v="0"/>
    <x v="3"/>
    <x v="0"/>
    <s v="No"/>
  </r>
  <r>
    <x v="16"/>
    <s v="Suman"/>
    <s v="Katte"/>
    <s v="skatte@flavors.me"/>
    <x v="2"/>
    <x v="13"/>
    <x v="0"/>
    <x v="3"/>
    <x v="12"/>
    <s v="Yes"/>
  </r>
  <r>
    <x v="17"/>
    <s v="Abhaya"/>
    <s v="Priyavardhan"/>
    <s v="apriyavardhan9@netvibes.com"/>
    <x v="5"/>
    <x v="15"/>
    <x v="3"/>
    <x v="3"/>
    <x v="13"/>
    <s v="Yes"/>
  </r>
  <r>
    <x v="18"/>
    <s v="Baruna"/>
    <s v="Ogale"/>
    <s v="bogale@gov.uk"/>
    <x v="8"/>
    <x v="16"/>
    <x v="1"/>
    <x v="3"/>
    <x v="14"/>
    <s v="Yes"/>
  </r>
  <r>
    <x v="19"/>
    <s v="Anjushri"/>
    <s v="Chandiramani"/>
    <s v="achandiramani3@theatlantic.com"/>
    <x v="1"/>
    <x v="16"/>
    <x v="1"/>
    <x v="3"/>
    <x v="15"/>
    <s v="Yes"/>
  </r>
  <r>
    <x v="20"/>
    <s v="Mardav"/>
    <s v="Ramaswami"/>
    <s v="mramaswami2@indiatimes.com"/>
    <x v="3"/>
    <x v="17"/>
    <x v="3"/>
    <x v="3"/>
    <x v="16"/>
    <s v="Yes"/>
  </r>
  <r>
    <x v="21"/>
    <s v="Madhumati"/>
    <s v="Gazala Soumitra"/>
    <s v="mgazala.soumitra4@domainmarket.com"/>
    <x v="5"/>
    <x v="18"/>
    <x v="0"/>
    <x v="3"/>
    <x v="17"/>
    <s v="Yes"/>
  </r>
  <r>
    <x v="22"/>
    <s v="Bhuvan"/>
    <s v="Pals"/>
    <s v="bpals@theatlantic.com"/>
    <x v="4"/>
    <x v="15"/>
    <x v="2"/>
    <x v="3"/>
    <x v="18"/>
    <s v="Yes"/>
  </r>
  <r>
    <x v="23"/>
    <s v="Parasuramudu"/>
    <s v="Jamakayala"/>
    <s v="pjamakayala@hhs.gov"/>
    <x v="4"/>
    <x v="19"/>
    <x v="2"/>
    <x v="4"/>
    <x v="0"/>
    <s v="No"/>
  </r>
  <r>
    <x v="24"/>
    <s v="Raghuveer"/>
    <s v="Yettugunna"/>
    <s v="ryettugunna@reddit.com"/>
    <x v="5"/>
    <x v="8"/>
    <x v="0"/>
    <x v="4"/>
    <x v="0"/>
    <s v="No"/>
  </r>
  <r>
    <x v="25"/>
    <s v="Lalit"/>
    <s v="Kothari"/>
    <s v="lkothari@blogtalkradio.com"/>
    <x v="0"/>
    <x v="6"/>
    <x v="0"/>
    <x v="4"/>
    <x v="0"/>
    <s v="No"/>
  </r>
  <r>
    <x v="26"/>
    <s v="Chitrasen"/>
    <s v="Laul"/>
    <s v="claul9@multiply.com"/>
    <x v="0"/>
    <x v="7"/>
    <x v="2"/>
    <x v="4"/>
    <x v="19"/>
    <s v="Yes"/>
  </r>
  <r>
    <x v="27"/>
    <s v="Bhuvan"/>
    <s v="Pals"/>
    <s v="bpals@theatlantic.com"/>
    <x v="4"/>
    <x v="20"/>
    <x v="1"/>
    <x v="4"/>
    <x v="20"/>
    <s v="Yes"/>
  </r>
  <r>
    <x v="28"/>
    <s v="Kamalakshi"/>
    <s v="Mukundan"/>
    <s v="kmukundan7@netlog.com"/>
    <x v="9"/>
    <x v="21"/>
    <x v="2"/>
    <x v="5"/>
    <x v="0"/>
    <s v="No"/>
  </r>
  <r>
    <x v="29"/>
    <s v="Nazeer"/>
    <s v="Basha Mustafa"/>
    <s v="nbasha.mustafa@prweb.com"/>
    <x v="0"/>
    <x v="22"/>
    <x v="0"/>
    <x v="5"/>
    <x v="21"/>
    <s v="Yes"/>
  </r>
  <r>
    <x v="30"/>
    <s v="Deepit"/>
    <s v="Ranjana"/>
    <s v="dranjana@360.cn"/>
    <x v="8"/>
    <x v="23"/>
    <x v="0"/>
    <x v="5"/>
    <x v="7"/>
    <s v="Yes"/>
  </r>
  <r>
    <x v="31"/>
    <s v="Ilesh"/>
    <s v="Dasgupta"/>
    <s v="idasgupta1@yolasite.com"/>
    <x v="9"/>
    <x v="24"/>
    <x v="1"/>
    <x v="5"/>
    <x v="22"/>
    <s v="Yes"/>
  </r>
  <r>
    <x v="32"/>
    <s v="Baruna"/>
    <s v="Ogale"/>
    <s v="bogale@gov.uk"/>
    <x v="8"/>
    <x v="25"/>
    <x v="0"/>
    <x v="5"/>
    <x v="23"/>
    <s v="Yes"/>
  </r>
  <r>
    <x v="33"/>
    <s v="Jaipal"/>
    <s v="Potanapudi"/>
    <s v="jpotanapudi7@usnews.com"/>
    <x v="6"/>
    <x v="26"/>
    <x v="1"/>
    <x v="5"/>
    <x v="24"/>
    <s v="Yes"/>
  </r>
  <r>
    <x v="34"/>
    <s v="Sukhdev"/>
    <s v="Nageshwar"/>
    <s v="snageshwar@ucla.edu"/>
    <x v="10"/>
    <x v="27"/>
    <x v="0"/>
    <x v="5"/>
    <x v="25"/>
    <s v="Yes"/>
  </r>
  <r>
    <x v="35"/>
    <s v="Deepit"/>
    <s v="Ranjana"/>
    <s v="dranjana@360.cn"/>
    <x v="8"/>
    <x v="28"/>
    <x v="0"/>
    <x v="5"/>
    <x v="26"/>
    <s v="Yes"/>
  </r>
  <r>
    <x v="36"/>
    <s v="Jagajeet"/>
    <s v="Viraj"/>
    <s v="jviraj@nba.com"/>
    <x v="7"/>
    <x v="29"/>
    <x v="2"/>
    <x v="5"/>
    <x v="27"/>
    <s v="Yes"/>
  </r>
  <r>
    <x v="37"/>
    <s v="Devrat"/>
    <s v="Damarsingh"/>
    <s v="ddamarsingh@cam.ac.uk"/>
    <x v="1"/>
    <x v="30"/>
    <x v="0"/>
    <x v="6"/>
    <x v="0"/>
    <s v="No"/>
  </r>
  <r>
    <x v="38"/>
    <s v="Asija"/>
    <s v="Pothireddy"/>
    <s v="apothireddy@psu.edu"/>
    <x v="4"/>
    <x v="8"/>
    <x v="0"/>
    <x v="6"/>
    <x v="0"/>
    <s v="No"/>
  </r>
  <r>
    <x v="39"/>
    <s v="Rushil"/>
    <s v="Kripa"/>
    <s v="rkripa1@narod.ru"/>
    <x v="8"/>
    <x v="31"/>
    <x v="1"/>
    <x v="6"/>
    <x v="28"/>
    <s v="Yes"/>
  </r>
  <r>
    <x v="40"/>
    <s v="Karuna"/>
    <s v="Pashupathy"/>
    <s v="kpashupathy3@netlog.com"/>
    <x v="3"/>
    <x v="27"/>
    <x v="1"/>
    <x v="6"/>
    <x v="17"/>
    <s v="Yes"/>
  </r>
  <r>
    <x v="41"/>
    <s v="Makshi"/>
    <s v="Vinutha"/>
    <s v="mvinutha6@samsung.com"/>
    <x v="7"/>
    <x v="32"/>
    <x v="0"/>
    <x v="6"/>
    <x v="29"/>
    <s v="Yes"/>
  </r>
  <r>
    <x v="42"/>
    <s v="Shulabh"/>
    <s v="Qutub Sundaramoorthy"/>
    <s v="squtub.sundaramoorthy@wikispaces.com"/>
    <x v="2"/>
    <x v="8"/>
    <x v="1"/>
    <x v="6"/>
    <x v="1"/>
    <s v="Yes"/>
  </r>
  <r>
    <x v="43"/>
    <s v="Bhuvan"/>
    <s v="Pals"/>
    <s v="bpals@theatlantic.com"/>
    <x v="4"/>
    <x v="33"/>
    <x v="0"/>
    <x v="6"/>
    <x v="30"/>
    <s v="Yes"/>
  </r>
  <r>
    <x v="44"/>
    <s v="Mardav"/>
    <s v="Ramaswami"/>
    <s v="mramaswami2@indiatimes.com"/>
    <x v="3"/>
    <x v="13"/>
    <x v="1"/>
    <x v="7"/>
    <x v="0"/>
    <s v="No"/>
  </r>
  <r>
    <x v="45"/>
    <s v="Shevantilal"/>
    <s v="Muppala"/>
    <s v="smuppala@stumbleupon.com"/>
    <x v="3"/>
    <x v="24"/>
    <x v="1"/>
    <x v="7"/>
    <x v="0"/>
    <s v="No"/>
  </r>
  <r>
    <x v="46"/>
    <s v="Mayur"/>
    <s v="Kousika"/>
    <s v="mkousika4@typepad.com"/>
    <x v="11"/>
    <x v="34"/>
    <x v="0"/>
    <x v="7"/>
    <x v="31"/>
    <s v="Yes"/>
  </r>
  <r>
    <x v="47"/>
    <s v="Chandana"/>
    <s v="Sannidhi Surnilla"/>
    <s v="csannidhi.surnilla@nydailynews.com"/>
    <x v="7"/>
    <x v="35"/>
    <x v="1"/>
    <x v="7"/>
    <x v="32"/>
    <s v="Yes"/>
  </r>
  <r>
    <x v="48"/>
    <s v="Rupak"/>
    <s v="Mehra"/>
    <s v="rmehra@1und1.de"/>
    <x v="3"/>
    <x v="36"/>
    <x v="2"/>
    <x v="7"/>
    <x v="33"/>
    <s v="Yes"/>
  </r>
  <r>
    <x v="49"/>
    <s v="Vasavi"/>
    <s v="Veeravasarapu"/>
    <s v="vveeravasarapu4@ibm.com"/>
    <x v="12"/>
    <x v="37"/>
    <x v="1"/>
    <x v="7"/>
    <x v="34"/>
    <s v="Yes"/>
  </r>
  <r>
    <x v="50"/>
    <s v="Lalitchandra"/>
    <s v="Vadali"/>
    <s v="lvadali@alibaba.com"/>
    <x v="5"/>
    <x v="38"/>
    <x v="0"/>
    <x v="7"/>
    <x v="35"/>
    <s v="Yes"/>
  </r>
  <r>
    <x v="51"/>
    <s v="Sawini"/>
    <s v="Chandan"/>
    <s v="schandan@dot.gov"/>
    <x v="1"/>
    <x v="10"/>
    <x v="0"/>
    <x v="8"/>
    <x v="36"/>
    <s v="Yes"/>
  </r>
  <r>
    <x v="52"/>
    <s v="Deepit"/>
    <s v="Ranjana"/>
    <s v="dranjana@360.cn"/>
    <x v="8"/>
    <x v="5"/>
    <x v="0"/>
    <x v="9"/>
    <x v="0"/>
    <s v="No"/>
  </r>
  <r>
    <x v="53"/>
    <s v="Mardav"/>
    <s v="Ramaswami"/>
    <s v="mramaswami2@indiatimes.com"/>
    <x v="3"/>
    <x v="26"/>
    <x v="1"/>
    <x v="9"/>
    <x v="37"/>
    <s v="Yes"/>
  </r>
  <r>
    <x v="54"/>
    <s v="Geena"/>
    <s v="Raghavanpillai"/>
    <s v="graghavanpillai6@g.co"/>
    <x v="3"/>
    <x v="18"/>
    <x v="0"/>
    <x v="9"/>
    <x v="38"/>
    <s v="Yes"/>
  </r>
  <r>
    <x v="55"/>
    <s v="Gopal"/>
    <s v="Venkata"/>
    <s v="gvenkata@flavors.me"/>
    <x v="4"/>
    <x v="39"/>
    <x v="1"/>
    <x v="10"/>
    <x v="0"/>
    <s v="No"/>
  </r>
  <r>
    <x v="56"/>
    <s v="Kantimoy"/>
    <s v="Pritish"/>
    <s v="kpritish5@jigsy.com"/>
    <x v="12"/>
    <x v="10"/>
    <x v="0"/>
    <x v="10"/>
    <x v="0"/>
    <s v="No"/>
  </r>
  <r>
    <x v="57"/>
    <s v="Sravanthi"/>
    <s v="Chalaki"/>
    <s v="schalaki@artisteer.com"/>
    <x v="2"/>
    <x v="40"/>
    <x v="0"/>
    <x v="10"/>
    <x v="0"/>
    <s v="No"/>
  </r>
  <r>
    <x v="58"/>
    <s v="Sreenivasa"/>
    <s v="Naik Gudiwada"/>
    <s v="snaik.gudiwada3@indiatimes.com"/>
    <x v="3"/>
    <x v="5"/>
    <x v="0"/>
    <x v="10"/>
    <x v="39"/>
    <s v="Yes"/>
  </r>
  <r>
    <x v="59"/>
    <s v="Venkat"/>
    <s v="Kodi"/>
    <s v="vkodi4@reference.com"/>
    <x v="13"/>
    <x v="7"/>
    <x v="0"/>
    <x v="10"/>
    <x v="40"/>
    <s v="Yes"/>
  </r>
  <r>
    <x v="60"/>
    <s v="Asija"/>
    <s v="Pothireddy"/>
    <s v="apothireddy@psu.edu"/>
    <x v="4"/>
    <x v="34"/>
    <x v="0"/>
    <x v="10"/>
    <x v="41"/>
    <s v="Yes"/>
  </r>
  <r>
    <x v="61"/>
    <s v="Kaishori"/>
    <s v="Harathi Kateel"/>
    <s v="kharathi.kateel@home.pl"/>
    <x v="4"/>
    <x v="6"/>
    <x v="2"/>
    <x v="10"/>
    <x v="42"/>
    <s v="Yes"/>
  </r>
  <r>
    <x v="62"/>
    <s v="Gumwant"/>
    <s v="Veera"/>
    <s v="gveera9@tuttocitta.it"/>
    <x v="4"/>
    <x v="15"/>
    <x v="2"/>
    <x v="10"/>
    <x v="43"/>
    <s v="Yes"/>
  </r>
  <r>
    <x v="63"/>
    <s v="Upendra"/>
    <s v="Swati"/>
    <s v="uswati@naver.com"/>
    <x v="8"/>
    <x v="41"/>
    <x v="0"/>
    <x v="10"/>
    <x v="44"/>
    <s v="Yes"/>
  </r>
  <r>
    <x v="64"/>
    <s v="Sahas"/>
    <s v="Sanabhi Shrikant"/>
    <s v="ssanabhi.shrikant3@ted.com"/>
    <x v="0"/>
    <x v="20"/>
    <x v="1"/>
    <x v="10"/>
    <x v="45"/>
    <s v="Yes"/>
  </r>
  <r>
    <x v="65"/>
    <s v="Mahindra"/>
    <s v="Sreedharan"/>
    <s v="msreedharan1@tinypic.com"/>
    <x v="0"/>
    <x v="10"/>
    <x v="0"/>
    <x v="11"/>
    <x v="46"/>
    <s v="Yes"/>
  </r>
  <r>
    <x v="66"/>
    <s v="Raghuveer"/>
    <s v="Yettugunna"/>
    <s v="ryettugunna@reddit.com"/>
    <x v="5"/>
    <x v="38"/>
    <x v="2"/>
    <x v="11"/>
    <x v="23"/>
    <s v="Yes"/>
  </r>
  <r>
    <x v="67"/>
    <s v="Devrat"/>
    <s v="Damarsingh"/>
    <s v="ddamarsingh@cam.ac.uk"/>
    <x v="1"/>
    <x v="1"/>
    <x v="0"/>
    <x v="11"/>
    <x v="31"/>
    <s v="Yes"/>
  </r>
  <r>
    <x v="68"/>
    <s v="Chandana"/>
    <s v="Sannidhi Surnilla"/>
    <s v="csannidhi.surnilla@nydailynews.com"/>
    <x v="7"/>
    <x v="24"/>
    <x v="0"/>
    <x v="11"/>
    <x v="47"/>
    <s v="Yes"/>
  </r>
  <r>
    <x v="69"/>
    <s v="Suman"/>
    <s v="Katte"/>
    <s v="skatte@flavors.me"/>
    <x v="2"/>
    <x v="13"/>
    <x v="3"/>
    <x v="12"/>
    <x v="0"/>
    <s v="No"/>
  </r>
  <r>
    <x v="70"/>
    <s v="Pragya"/>
    <s v="Nilufar"/>
    <s v="pnilufar4@comsenz.com"/>
    <x v="4"/>
    <x v="3"/>
    <x v="2"/>
    <x v="12"/>
    <x v="26"/>
    <s v="Yes"/>
  </r>
  <r>
    <x v="71"/>
    <s v="Deepit"/>
    <s v="Ranjana"/>
    <s v="dranjana@360.cn"/>
    <x v="8"/>
    <x v="42"/>
    <x v="2"/>
    <x v="12"/>
    <x v="38"/>
    <s v="Yes"/>
  </r>
  <r>
    <x v="72"/>
    <s v="Anjushri"/>
    <s v="Chandiramani"/>
    <s v="achandiramani3@theatlantic.com"/>
    <x v="1"/>
    <x v="43"/>
    <x v="1"/>
    <x v="12"/>
    <x v="48"/>
    <s v="Yes"/>
  </r>
  <r>
    <x v="73"/>
    <s v="Anjushri"/>
    <s v="Chandiramani"/>
    <s v="achandiramani3@theatlantic.com"/>
    <x v="1"/>
    <x v="19"/>
    <x v="0"/>
    <x v="13"/>
    <x v="0"/>
    <s v="No"/>
  </r>
  <r>
    <x v="74"/>
    <s v="Sukhdev"/>
    <s v="Nageshwar"/>
    <s v="snageshwar@ucla.edu"/>
    <x v="10"/>
    <x v="44"/>
    <x v="2"/>
    <x v="13"/>
    <x v="0"/>
    <s v="No"/>
  </r>
  <r>
    <x v="75"/>
    <s v="Sahas"/>
    <s v="Sanabhi Shrikant"/>
    <s v="ssanabhi.shrikant3@ted.com"/>
    <x v="0"/>
    <x v="36"/>
    <x v="1"/>
    <x v="13"/>
    <x v="49"/>
    <s v="Yes"/>
  </r>
  <r>
    <x v="76"/>
    <s v="Sameer"/>
    <s v="Shashank Sapra"/>
    <s v="sshashank.sapra@oaic.gov.au"/>
    <x v="0"/>
    <x v="36"/>
    <x v="2"/>
    <x v="13"/>
    <x v="50"/>
    <s v="Yes"/>
  </r>
  <r>
    <x v="77"/>
    <s v="Mahindra"/>
    <s v="Sreedharan"/>
    <s v="msreedharan1@tinypic.com"/>
    <x v="0"/>
    <x v="34"/>
    <x v="0"/>
    <x v="13"/>
    <x v="51"/>
    <s v="Yes"/>
  </r>
  <r>
    <x v="78"/>
    <s v="Shattesh"/>
    <s v="Utpat"/>
    <s v="sutpat1@github.com"/>
    <x v="9"/>
    <x v="26"/>
    <x v="2"/>
    <x v="13"/>
    <x v="52"/>
    <s v="Yes"/>
  </r>
  <r>
    <x v="79"/>
    <s v="Amal"/>
    <s v="Nimesh"/>
    <s v="animesh@spotify.com"/>
    <x v="4"/>
    <x v="31"/>
    <x v="0"/>
    <x v="13"/>
    <x v="53"/>
    <s v="Yes"/>
  </r>
  <r>
    <x v="80"/>
    <s v="Duran"/>
    <s v="Appala"/>
    <s v="dappala@elegantthemes.com"/>
    <x v="3"/>
    <x v="2"/>
    <x v="1"/>
    <x v="14"/>
    <x v="0"/>
    <s v="No"/>
  </r>
  <r>
    <x v="81"/>
    <s v="Lalit"/>
    <s v="Kothari"/>
    <s v="lkothari@blogtalkradio.com"/>
    <x v="0"/>
    <x v="45"/>
    <x v="1"/>
    <x v="14"/>
    <x v="0"/>
    <s v="No"/>
  </r>
  <r>
    <x v="82"/>
    <s v="Mardav"/>
    <s v="Ramaswami"/>
    <s v="mramaswami2@indiatimes.com"/>
    <x v="3"/>
    <x v="22"/>
    <x v="2"/>
    <x v="14"/>
    <x v="54"/>
    <s v="Yes"/>
  </r>
  <r>
    <x v="83"/>
    <s v="Parasuramudu"/>
    <s v="Jamakayala"/>
    <s v="pjamakayala@hhs.gov"/>
    <x v="4"/>
    <x v="38"/>
    <x v="0"/>
    <x v="14"/>
    <x v="55"/>
    <s v="Yes"/>
  </r>
  <r>
    <x v="84"/>
    <s v="Lalit"/>
    <s v="Kothari"/>
    <s v="lkothari@blogtalkradio.com"/>
    <x v="0"/>
    <x v="36"/>
    <x v="2"/>
    <x v="14"/>
    <x v="56"/>
    <s v="Yes"/>
  </r>
  <r>
    <x v="85"/>
    <s v="Sarojini"/>
    <s v="Naueshwara"/>
    <s v="snaueshwara@netscape.com"/>
    <x v="3"/>
    <x v="41"/>
    <x v="1"/>
    <x v="14"/>
    <x v="57"/>
    <s v="Yes"/>
  </r>
  <r>
    <x v="86"/>
    <s v="Sahas"/>
    <s v="Sanabhi Shrikant"/>
    <s v="ssanabhi.shrikant3@ted.com"/>
    <x v="0"/>
    <x v="41"/>
    <x v="0"/>
    <x v="14"/>
    <x v="58"/>
    <s v="Yes"/>
  </r>
  <r>
    <x v="87"/>
    <s v="Parasuramudu"/>
    <s v="Jamakayala"/>
    <s v="pjamakayala@hhs.gov"/>
    <x v="4"/>
    <x v="45"/>
    <x v="1"/>
    <x v="14"/>
    <x v="59"/>
    <s v="Yes"/>
  </r>
  <r>
    <x v="88"/>
    <s v="Devasree"/>
    <s v="Fullara Saurin"/>
    <s v="dfullara.saurin3@prnewswire.com"/>
    <x v="8"/>
    <x v="45"/>
    <x v="0"/>
    <x v="15"/>
    <x v="0"/>
    <s v="No"/>
  </r>
  <r>
    <x v="89"/>
    <s v="Sahas"/>
    <s v="Sanabhi Shrikant"/>
    <s v="ssanabhi.shrikant3@ted.com"/>
    <x v="0"/>
    <x v="41"/>
    <x v="1"/>
    <x v="15"/>
    <x v="0"/>
    <s v="No"/>
  </r>
  <r>
    <x v="90"/>
    <s v="Mardav"/>
    <s v="Ramaswami"/>
    <s v="mramaswami2@indiatimes.com"/>
    <x v="3"/>
    <x v="28"/>
    <x v="0"/>
    <x v="15"/>
    <x v="0"/>
    <s v="No"/>
  </r>
  <r>
    <x v="91"/>
    <s v="Venkat"/>
    <s v="Kodi"/>
    <s v="vkodi4@reference.com"/>
    <x v="13"/>
    <x v="5"/>
    <x v="0"/>
    <x v="15"/>
    <x v="0"/>
    <s v="No"/>
  </r>
  <r>
    <x v="92"/>
    <s v="Shulabh"/>
    <s v="Qutub Sundaramoorthy"/>
    <s v="squtub.sundaramoorthy@wikispaces.com"/>
    <x v="2"/>
    <x v="46"/>
    <x v="1"/>
    <x v="15"/>
    <x v="60"/>
    <s v="Yes"/>
  </r>
  <r>
    <x v="93"/>
    <s v="Sarayu"/>
    <s v="Ragunathan"/>
    <s v="sragunathan2@nhs.uk"/>
    <x v="3"/>
    <x v="47"/>
    <x v="1"/>
    <x v="15"/>
    <x v="61"/>
    <s v="Yes"/>
  </r>
  <r>
    <x v="94"/>
    <s v="Kaishori"/>
    <s v="Harathi Kateel"/>
    <s v="kharathi.kateel@home.pl"/>
    <x v="4"/>
    <x v="24"/>
    <x v="2"/>
    <x v="16"/>
    <x v="62"/>
    <s v="Yes"/>
  </r>
  <r>
    <x v="95"/>
    <s v="Duran"/>
    <s v="Appala"/>
    <s v="dappala@elegantthemes.com"/>
    <x v="3"/>
    <x v="27"/>
    <x v="2"/>
    <x v="16"/>
    <x v="30"/>
    <s v="Yes"/>
  </r>
  <r>
    <x v="96"/>
    <s v="Kantimoy"/>
    <s v="Pritish"/>
    <s v="kpritish5@jigsy.com"/>
    <x v="12"/>
    <x v="27"/>
    <x v="1"/>
    <x v="16"/>
    <x v="63"/>
    <s v="Yes"/>
  </r>
  <r>
    <x v="97"/>
    <s v="Jaishree"/>
    <s v="Atasi Yavatkar"/>
    <s v="jatasi.yavatkar7@theglobeandmail.com"/>
    <x v="2"/>
    <x v="30"/>
    <x v="0"/>
    <x v="17"/>
    <x v="64"/>
    <s v="Yes"/>
  </r>
  <r>
    <x v="98"/>
    <s v="Kantimoy"/>
    <s v="Pritish"/>
    <s v="kpritish5@jigsy.com"/>
    <x v="12"/>
    <x v="16"/>
    <x v="1"/>
    <x v="17"/>
    <x v="65"/>
    <s v="Yes"/>
  </r>
  <r>
    <x v="99"/>
    <s v="Pragya"/>
    <s v="Nilufar"/>
    <s v="pnilufar4@comsenz.com"/>
    <x v="4"/>
    <x v="37"/>
    <x v="0"/>
    <x v="18"/>
    <x v="0"/>
    <s v="No"/>
  </r>
  <r>
    <x v="100"/>
    <s v="Rameshwari"/>
    <s v="Chikodi"/>
    <s v="rchikodi6@histats.com"/>
    <x v="7"/>
    <x v="48"/>
    <x v="2"/>
    <x v="18"/>
    <x v="66"/>
    <s v="Yes"/>
  </r>
  <r>
    <x v="101"/>
    <s v="Vasu"/>
    <s v="Nandin"/>
    <s v="vnandin@zimbio.com"/>
    <x v="0"/>
    <x v="3"/>
    <x v="0"/>
    <x v="18"/>
    <x v="67"/>
    <s v="Yes"/>
  </r>
  <r>
    <x v="102"/>
    <s v="Ilesh"/>
    <s v="Dasgupta"/>
    <s v="idasgupta1@yolasite.com"/>
    <x v="9"/>
    <x v="7"/>
    <x v="0"/>
    <x v="18"/>
    <x v="68"/>
    <s v="Yes"/>
  </r>
  <r>
    <x v="103"/>
    <s v="Oorjit"/>
    <s v="Nandanavanam"/>
    <s v="onandanavanam@ustream.tv"/>
    <x v="1"/>
    <x v="15"/>
    <x v="0"/>
    <x v="18"/>
    <x v="49"/>
    <s v="Yes"/>
  </r>
  <r>
    <x v="104"/>
    <s v="Shulabh"/>
    <s v="Qutub Sundaramoorthy"/>
    <s v="squtub.sundaramoorthy@wikispaces.com"/>
    <x v="2"/>
    <x v="36"/>
    <x v="0"/>
    <x v="18"/>
    <x v="69"/>
    <s v="Yes"/>
  </r>
  <r>
    <x v="105"/>
    <s v="Madhumati"/>
    <s v="Gazala Soumitra"/>
    <s v="mgazala.soumitra4@domainmarket.com"/>
    <x v="5"/>
    <x v="44"/>
    <x v="1"/>
    <x v="19"/>
    <x v="0"/>
    <s v="No"/>
  </r>
  <r>
    <x v="106"/>
    <s v="Tarala"/>
    <s v="Vishaal"/>
    <s v="tvishaal@mozilla.org"/>
    <x v="1"/>
    <x v="49"/>
    <x v="0"/>
    <x v="19"/>
    <x v="70"/>
    <s v="Yes"/>
  </r>
  <r>
    <x v="107"/>
    <s v="Shubhra"/>
    <s v="Potla"/>
    <s v="spotla1@1688.com"/>
    <x v="3"/>
    <x v="20"/>
    <x v="0"/>
    <x v="19"/>
    <x v="71"/>
    <s v="Yes"/>
  </r>
  <r>
    <x v="108"/>
    <s v="Yedukondalu"/>
    <s v="Panditula"/>
    <s v="ypanditula@hugedomains.com"/>
    <x v="0"/>
    <x v="10"/>
    <x v="0"/>
    <x v="19"/>
    <x v="72"/>
    <s v="Yes"/>
  </r>
  <r>
    <x v="109"/>
    <s v="Kulbhushan"/>
    <s v="Moorthy"/>
    <s v="kmoorthy6@cmu.edu"/>
    <x v="8"/>
    <x v="24"/>
    <x v="1"/>
    <x v="19"/>
    <x v="73"/>
    <s v="Yes"/>
  </r>
  <r>
    <x v="110"/>
    <s v="Kevalkumar"/>
    <s v="Solanki"/>
    <s v="ksolanki5@who.int"/>
    <x v="2"/>
    <x v="31"/>
    <x v="2"/>
    <x v="19"/>
    <x v="74"/>
    <s v="Yes"/>
  </r>
  <r>
    <x v="111"/>
    <s v="Mahindra"/>
    <s v="Sreedharan"/>
    <s v="msreedharan1@tinypic.com"/>
    <x v="0"/>
    <x v="8"/>
    <x v="0"/>
    <x v="19"/>
    <x v="75"/>
    <s v="Yes"/>
  </r>
  <r>
    <x v="112"/>
    <s v="Sahas"/>
    <s v="Sanabhi Shrikant"/>
    <s v="ssanabhi.shrikant3@ted.com"/>
    <x v="0"/>
    <x v="10"/>
    <x v="0"/>
    <x v="19"/>
    <x v="76"/>
    <s v="Yes"/>
  </r>
  <r>
    <x v="113"/>
    <s v="Kamalakshi"/>
    <s v="Mukundan"/>
    <s v="kmukundan7@netlog.com"/>
    <x v="9"/>
    <x v="4"/>
    <x v="1"/>
    <x v="20"/>
    <x v="77"/>
    <s v="Yes"/>
  </r>
  <r>
    <x v="114"/>
    <s v="Ayog"/>
    <s v="Chakrabarti"/>
    <s v="achakrabarti@elegantthemes.com"/>
    <x v="5"/>
    <x v="19"/>
    <x v="2"/>
    <x v="20"/>
    <x v="78"/>
    <s v="Yes"/>
  </r>
  <r>
    <x v="115"/>
    <s v="Sameer"/>
    <s v="Shashank Sapra"/>
    <s v="sshashank.sapra@oaic.gov.au"/>
    <x v="0"/>
    <x v="31"/>
    <x v="0"/>
    <x v="20"/>
    <x v="79"/>
    <s v="Yes"/>
  </r>
  <r>
    <x v="116"/>
    <s v="Rameshwari"/>
    <s v="Chikodi"/>
    <s v="rchikodi6@histats.com"/>
    <x v="7"/>
    <x v="50"/>
    <x v="2"/>
    <x v="20"/>
    <x v="80"/>
    <s v="Yes"/>
  </r>
  <r>
    <x v="117"/>
    <s v="Venkat"/>
    <s v="Kodi"/>
    <s v="vkodi4@reference.com"/>
    <x v="13"/>
    <x v="48"/>
    <x v="0"/>
    <x v="21"/>
    <x v="0"/>
    <s v="No"/>
  </r>
  <r>
    <x v="118"/>
    <s v="Chandana"/>
    <s v="Sannidhi Surnilla"/>
    <s v="csannidhi.surnilla@nydailynews.com"/>
    <x v="7"/>
    <x v="45"/>
    <x v="1"/>
    <x v="21"/>
    <x v="81"/>
    <s v="Yes"/>
  </r>
  <r>
    <x v="119"/>
    <s v="Subbarao"/>
    <s v="Malladi"/>
    <s v="smalladi@gmpg.org"/>
    <x v="3"/>
    <x v="7"/>
    <x v="1"/>
    <x v="22"/>
    <x v="0"/>
    <s v="No"/>
  </r>
  <r>
    <x v="120"/>
    <s v="Ilesh"/>
    <s v="Dasgupta"/>
    <s v="idasgupta1@yolasite.com"/>
    <x v="9"/>
    <x v="34"/>
    <x v="1"/>
    <x v="22"/>
    <x v="82"/>
    <s v="Yes"/>
  </r>
  <r>
    <x v="121"/>
    <s v="Madhumati"/>
    <s v="Gazala Soumitra"/>
    <s v="mgazala.soumitra4@domainmarket.com"/>
    <x v="5"/>
    <x v="35"/>
    <x v="1"/>
    <x v="22"/>
    <x v="83"/>
    <s v="Yes"/>
  </r>
  <r>
    <x v="122"/>
    <s v="Pratigya"/>
    <s v="Rema"/>
    <s v="prema@hubpages.com"/>
    <x v="7"/>
    <x v="13"/>
    <x v="0"/>
    <x v="22"/>
    <x v="84"/>
    <s v="Yes"/>
  </r>
  <r>
    <x v="123"/>
    <s v="Lalitchandra"/>
    <s v="Vadali"/>
    <s v="lvadali@alibaba.com"/>
    <x v="5"/>
    <x v="51"/>
    <x v="0"/>
    <x v="22"/>
    <x v="85"/>
    <s v="Yes"/>
  </r>
  <r>
    <x v="124"/>
    <s v="Parasuramudu"/>
    <s v="Jamakayala"/>
    <s v="pjamakayala@hhs.gov"/>
    <x v="4"/>
    <x v="0"/>
    <x v="3"/>
    <x v="23"/>
    <x v="0"/>
    <s v="No"/>
  </r>
  <r>
    <x v="125"/>
    <s v="Anjushri"/>
    <s v="Chandiramani"/>
    <s v="achandiramani3@theatlantic.com"/>
    <x v="1"/>
    <x v="49"/>
    <x v="1"/>
    <x v="23"/>
    <x v="86"/>
    <s v="Yes"/>
  </r>
  <r>
    <x v="126"/>
    <s v="Makshi"/>
    <s v="Vinutha"/>
    <s v="mvinutha6@samsung.com"/>
    <x v="7"/>
    <x v="18"/>
    <x v="0"/>
    <x v="23"/>
    <x v="87"/>
    <s v="Yes"/>
  </r>
  <r>
    <x v="127"/>
    <s v="Chitrasen"/>
    <s v="Laul"/>
    <s v="claul9@multiply.com"/>
    <x v="0"/>
    <x v="41"/>
    <x v="0"/>
    <x v="24"/>
    <x v="0"/>
    <s v="No"/>
  </r>
  <r>
    <x v="128"/>
    <s v="Narois"/>
    <s v="Motiwala"/>
    <s v="nmotiwala@oracle.com"/>
    <x v="6"/>
    <x v="7"/>
    <x v="2"/>
    <x v="24"/>
    <x v="88"/>
    <s v="Yes"/>
  </r>
  <r>
    <x v="129"/>
    <s v="Ramalingam"/>
    <s v="Kothapeta"/>
    <s v="rkothapeta@nbcnews.com"/>
    <x v="0"/>
    <x v="41"/>
    <x v="2"/>
    <x v="24"/>
    <x v="89"/>
    <s v="Yes"/>
  </r>
  <r>
    <x v="130"/>
    <s v="Agrata"/>
    <s v="Rajarama"/>
    <s v="arajarama9@360.cn"/>
    <x v="1"/>
    <x v="19"/>
    <x v="2"/>
    <x v="24"/>
    <x v="90"/>
    <s v="Yes"/>
  </r>
  <r>
    <x v="131"/>
    <s v="Yedukondalu"/>
    <s v="Panditula"/>
    <s v="ypanditula@hugedomains.com"/>
    <x v="0"/>
    <x v="18"/>
    <x v="0"/>
    <x v="24"/>
    <x v="91"/>
    <s v="Yes"/>
  </r>
  <r>
    <x v="132"/>
    <s v="Jaipal"/>
    <s v="Potanapudi"/>
    <s v="jpotanapudi7@usnews.com"/>
    <x v="6"/>
    <x v="29"/>
    <x v="0"/>
    <x v="24"/>
    <x v="92"/>
    <s v="Yes"/>
  </r>
  <r>
    <x v="133"/>
    <s v="Devrat"/>
    <s v="Damarsingh"/>
    <s v="ddamarsingh@cam.ac.uk"/>
    <x v="1"/>
    <x v="52"/>
    <x v="1"/>
    <x v="24"/>
    <x v="87"/>
    <s v="Yes"/>
  </r>
  <r>
    <x v="134"/>
    <s v="Piyali"/>
    <s v="Mahanthapa"/>
    <s v="pmahanthapa9@senate.gov"/>
    <x v="1"/>
    <x v="25"/>
    <x v="2"/>
    <x v="24"/>
    <x v="51"/>
    <s v="Yes"/>
  </r>
  <r>
    <x v="135"/>
    <s v="Jaishree"/>
    <s v="Atasi Yavatkar"/>
    <s v="jatasi.yavatkar7@theglobeandmail.com"/>
    <x v="2"/>
    <x v="31"/>
    <x v="1"/>
    <x v="25"/>
    <x v="0"/>
    <s v="No"/>
  </r>
  <r>
    <x v="136"/>
    <s v="Parasuramudu"/>
    <s v="Jamakayala"/>
    <s v="pjamakayala@hhs.gov"/>
    <x v="4"/>
    <x v="53"/>
    <x v="1"/>
    <x v="25"/>
    <x v="0"/>
    <s v="No"/>
  </r>
  <r>
    <x v="137"/>
    <s v="Anumati"/>
    <s v="Shyamari Meherhomji"/>
    <s v="ashyamari.meherhomji@apple.com"/>
    <x v="0"/>
    <x v="24"/>
    <x v="3"/>
    <x v="25"/>
    <x v="0"/>
    <s v="No"/>
  </r>
  <r>
    <x v="138"/>
    <s v="Sartaj"/>
    <s v="Probal"/>
    <s v="sprobal@webnode.com"/>
    <x v="13"/>
    <x v="45"/>
    <x v="0"/>
    <x v="25"/>
    <x v="28"/>
    <s v="Yes"/>
  </r>
  <r>
    <x v="139"/>
    <s v="Geena"/>
    <s v="Raghavanpillai"/>
    <s v="graghavanpillai6@g.co"/>
    <x v="3"/>
    <x v="8"/>
    <x v="0"/>
    <x v="25"/>
    <x v="12"/>
    <s v="Yes"/>
  </r>
  <r>
    <x v="140"/>
    <s v="Shattesh"/>
    <s v="Utpat"/>
    <s v="sutpat1@github.com"/>
    <x v="9"/>
    <x v="3"/>
    <x v="2"/>
    <x v="26"/>
    <x v="0"/>
    <s v="No"/>
  </r>
  <r>
    <x v="141"/>
    <s v="Abhaya"/>
    <s v="Priyavardhan"/>
    <s v="apriyavardhan9@netvibes.com"/>
    <x v="5"/>
    <x v="34"/>
    <x v="1"/>
    <x v="26"/>
    <x v="0"/>
    <s v="No"/>
  </r>
  <r>
    <x v="142"/>
    <s v="Narois"/>
    <s v="Motiwala"/>
    <s v="nmotiwala@oracle.com"/>
    <x v="6"/>
    <x v="54"/>
    <x v="1"/>
    <x v="26"/>
    <x v="0"/>
    <s v="No"/>
  </r>
  <r>
    <x v="143"/>
    <s v="Amlankusum"/>
    <s v="Rajabhushan"/>
    <s v="arajabhushan@yandex.ru"/>
    <x v="4"/>
    <x v="41"/>
    <x v="2"/>
    <x v="26"/>
    <x v="21"/>
    <s v="Yes"/>
  </r>
  <r>
    <x v="144"/>
    <s v="Asija"/>
    <s v="Pothireddy"/>
    <s v="apothireddy@psu.edu"/>
    <x v="4"/>
    <x v="36"/>
    <x v="3"/>
    <x v="27"/>
    <x v="0"/>
    <s v="No"/>
  </r>
  <r>
    <x v="145"/>
    <s v="Rupak"/>
    <s v="Mehra"/>
    <s v="rmehra@1und1.de"/>
    <x v="3"/>
    <x v="55"/>
    <x v="2"/>
    <x v="27"/>
    <x v="0"/>
    <s v="No"/>
  </r>
  <r>
    <x v="146"/>
    <s v="Ranajay"/>
    <s v="Kailashnath Richa"/>
    <s v="rkailashnath.richa8@wisc.edu"/>
    <x v="5"/>
    <x v="10"/>
    <x v="0"/>
    <x v="27"/>
    <x v="93"/>
    <s v="Yes"/>
  </r>
  <r>
    <x v="147"/>
    <s v="Makshi"/>
    <s v="Vinutha"/>
    <s v="mvinutha6@samsung.com"/>
    <x v="7"/>
    <x v="8"/>
    <x v="0"/>
    <x v="27"/>
    <x v="94"/>
    <s v="Yes"/>
  </r>
  <r>
    <x v="148"/>
    <s v="Rushil"/>
    <s v="Kripa"/>
    <s v="rkripa1@narod.ru"/>
    <x v="8"/>
    <x v="10"/>
    <x v="3"/>
    <x v="27"/>
    <x v="95"/>
    <s v="Yes"/>
  </r>
  <r>
    <x v="149"/>
    <s v="Kunja"/>
    <s v="Prashanta Vibha"/>
    <s v="kprashanta.vibha6@samsung.com"/>
    <x v="0"/>
    <x v="38"/>
    <x v="1"/>
    <x v="27"/>
    <x v="96"/>
    <s v="Yes"/>
  </r>
  <r>
    <x v="150"/>
    <s v="Kevalkumar"/>
    <s v="Solanki"/>
    <s v="ksolanki5@who.int"/>
    <x v="2"/>
    <x v="8"/>
    <x v="1"/>
    <x v="27"/>
    <x v="97"/>
    <s v="Yes"/>
  </r>
  <r>
    <x v="151"/>
    <s v="Sameer"/>
    <s v="Shashank Sapra"/>
    <s v="sshashank.sapra@oaic.gov.au"/>
    <x v="0"/>
    <x v="46"/>
    <x v="1"/>
    <x v="27"/>
    <x v="49"/>
    <s v="Yes"/>
  </r>
  <r>
    <x v="152"/>
    <s v="Karuna"/>
    <s v="Pashupathy"/>
    <s v="kpashupathy3@netlog.com"/>
    <x v="3"/>
    <x v="2"/>
    <x v="1"/>
    <x v="27"/>
    <x v="65"/>
    <s v="Yes"/>
  </r>
  <r>
    <x v="153"/>
    <s v="Tarala"/>
    <s v="Vishaal"/>
    <s v="tvishaal@mozilla.org"/>
    <x v="1"/>
    <x v="35"/>
    <x v="3"/>
    <x v="28"/>
    <x v="98"/>
    <s v="Yes"/>
  </r>
  <r>
    <x v="154"/>
    <s v="Shulabh"/>
    <s v="Qutub Sundaramoorthy"/>
    <s v="squtub.sundaramoorthy@wikispaces.com"/>
    <x v="2"/>
    <x v="21"/>
    <x v="1"/>
    <x v="28"/>
    <x v="99"/>
    <s v="Yes"/>
  </r>
  <r>
    <x v="155"/>
    <s v="Suman"/>
    <s v="Katte"/>
    <s v="skatte@flavors.me"/>
    <x v="2"/>
    <x v="45"/>
    <x v="0"/>
    <x v="28"/>
    <x v="100"/>
    <s v="Yes"/>
  </r>
  <r>
    <x v="156"/>
    <s v="Vasu"/>
    <s v="Nandin"/>
    <s v="vnandin@zimbio.com"/>
    <x v="0"/>
    <x v="42"/>
    <x v="1"/>
    <x v="28"/>
    <x v="101"/>
    <s v="Yes"/>
  </r>
  <r>
    <x v="157"/>
    <s v="Sravanthi"/>
    <s v="Chalaki"/>
    <s v="schalaki@artisteer.com"/>
    <x v="2"/>
    <x v="23"/>
    <x v="0"/>
    <x v="29"/>
    <x v="0"/>
    <s v="No"/>
  </r>
  <r>
    <x v="158"/>
    <s v="Subbarao"/>
    <s v="Malladi"/>
    <s v="smalladi@gmpg.org"/>
    <x v="3"/>
    <x v="22"/>
    <x v="2"/>
    <x v="29"/>
    <x v="102"/>
    <s v="Yes"/>
  </r>
  <r>
    <x v="159"/>
    <s v="Agrata"/>
    <s v="Rajarama"/>
    <s v="arajarama9@360.cn"/>
    <x v="1"/>
    <x v="22"/>
    <x v="1"/>
    <x v="29"/>
    <x v="46"/>
    <s v="Yes"/>
  </r>
  <r>
    <x v="160"/>
    <s v="Nazeer"/>
    <s v="Basha Mustafa"/>
    <s v="nbasha.mustafa@prweb.com"/>
    <x v="0"/>
    <x v="2"/>
    <x v="2"/>
    <x v="30"/>
    <x v="0"/>
    <s v="No"/>
  </r>
  <r>
    <x v="161"/>
    <s v="Godavari"/>
    <s v="Veena"/>
    <s v="gveena3@pcworld.com"/>
    <x v="8"/>
    <x v="20"/>
    <x v="0"/>
    <x v="30"/>
    <x v="103"/>
    <s v="Yes"/>
  </r>
  <r>
    <x v="162"/>
    <s v="Kunja"/>
    <s v="Prashanta Vibha"/>
    <s v="kprashanta.vibha6@samsung.com"/>
    <x v="0"/>
    <x v="10"/>
    <x v="1"/>
    <x v="30"/>
    <x v="104"/>
    <s v="Yes"/>
  </r>
  <r>
    <x v="163"/>
    <s v="Rameshwari"/>
    <s v="Chikodi"/>
    <s v="rchikodi6@histats.com"/>
    <x v="7"/>
    <x v="7"/>
    <x v="0"/>
    <x v="31"/>
    <x v="0"/>
    <s v="No"/>
  </r>
  <r>
    <x v="164"/>
    <s v="Parasuramudu"/>
    <s v="Jamakayala"/>
    <s v="pjamakayala@hhs.gov"/>
    <x v="4"/>
    <x v="40"/>
    <x v="1"/>
    <x v="31"/>
    <x v="47"/>
    <s v="Yes"/>
  </r>
  <r>
    <x v="165"/>
    <s v="Subbarao"/>
    <s v="Malladi"/>
    <s v="smalladi@gmpg.org"/>
    <x v="3"/>
    <x v="56"/>
    <x v="1"/>
    <x v="31"/>
    <x v="3"/>
    <s v="Yes"/>
  </r>
  <r>
    <x v="166"/>
    <s v="Lalitchandra"/>
    <s v="Vadali"/>
    <s v="lvadali@alibaba.com"/>
    <x v="5"/>
    <x v="28"/>
    <x v="0"/>
    <x v="31"/>
    <x v="48"/>
    <s v="Yes"/>
  </r>
  <r>
    <x v="167"/>
    <s v="Sawini"/>
    <s v="Chandan"/>
    <s v="schandan@dot.gov"/>
    <x v="1"/>
    <x v="17"/>
    <x v="0"/>
    <x v="31"/>
    <x v="105"/>
    <s v="Yes"/>
  </r>
  <r>
    <x v="168"/>
    <s v="Kaishori"/>
    <s v="Harathi Kateel"/>
    <s v="kharathi.kateel@home.pl"/>
    <x v="4"/>
    <x v="30"/>
    <x v="2"/>
    <x v="31"/>
    <x v="106"/>
    <s v="Yes"/>
  </r>
  <r>
    <x v="169"/>
    <s v="Kamalakshi"/>
    <s v="Mukundan"/>
    <s v="kmukundan7@netlog.com"/>
    <x v="9"/>
    <x v="45"/>
    <x v="1"/>
    <x v="31"/>
    <x v="107"/>
    <s v="Yes"/>
  </r>
  <r>
    <x v="170"/>
    <s v="Rupak"/>
    <s v="Mehra"/>
    <s v="rmehra@1und1.de"/>
    <x v="3"/>
    <x v="22"/>
    <x v="3"/>
    <x v="32"/>
    <x v="0"/>
    <s v="No"/>
  </r>
  <r>
    <x v="171"/>
    <s v="Narois"/>
    <s v="Motiwala"/>
    <s v="nmotiwala@oracle.com"/>
    <x v="6"/>
    <x v="27"/>
    <x v="0"/>
    <x v="32"/>
    <x v="0"/>
    <s v="No"/>
  </r>
  <r>
    <x v="172"/>
    <s v="Sarayu"/>
    <s v="Ragunathan"/>
    <s v="sragunathan2@nhs.uk"/>
    <x v="3"/>
    <x v="43"/>
    <x v="0"/>
    <x v="32"/>
    <x v="57"/>
    <s v="Yes"/>
  </r>
  <r>
    <x v="173"/>
    <s v="Fullara"/>
    <s v="Sushanti Mokate"/>
    <s v="fsushanti.mokate8@cisco.com"/>
    <x v="2"/>
    <x v="52"/>
    <x v="0"/>
    <x v="32"/>
    <x v="108"/>
    <s v="Yes"/>
  </r>
  <r>
    <x v="174"/>
    <s v="Ilesh"/>
    <s v="Dasgupta"/>
    <s v="idasgupta1@yolasite.com"/>
    <x v="9"/>
    <x v="11"/>
    <x v="0"/>
    <x v="33"/>
    <x v="0"/>
    <s v="No"/>
  </r>
  <r>
    <x v="175"/>
    <s v="Sarojini"/>
    <s v="Naueshwara"/>
    <s v="snaueshwara@netscape.com"/>
    <x v="3"/>
    <x v="30"/>
    <x v="0"/>
    <x v="33"/>
    <x v="109"/>
    <s v="Yes"/>
  </r>
  <r>
    <x v="176"/>
    <s v="Lalitchandra"/>
    <s v="Vadali"/>
    <s v="lvadali@alibaba.com"/>
    <x v="5"/>
    <x v="39"/>
    <x v="0"/>
    <x v="33"/>
    <x v="37"/>
    <s v="Yes"/>
  </r>
  <r>
    <x v="177"/>
    <s v="Sawini"/>
    <s v="Chandan"/>
    <s v="schandan@dot.gov"/>
    <x v="1"/>
    <x v="55"/>
    <x v="2"/>
    <x v="33"/>
    <x v="110"/>
    <s v="Yes"/>
  </r>
  <r>
    <x v="178"/>
    <s v="Rupak"/>
    <s v="Mehra"/>
    <s v="rmehra@1und1.de"/>
    <x v="3"/>
    <x v="13"/>
    <x v="0"/>
    <x v="34"/>
    <x v="62"/>
    <s v="Yes"/>
  </r>
  <r>
    <x v="179"/>
    <s v="Devsena"/>
    <s v="Veluvalapalli"/>
    <s v="dveluvalapalli@adobe.com"/>
    <x v="9"/>
    <x v="21"/>
    <x v="1"/>
    <x v="34"/>
    <x v="111"/>
    <s v="Yes"/>
  </r>
  <r>
    <x v="180"/>
    <s v="Kantimoy"/>
    <s v="Pritish"/>
    <s v="kpritish5@jigsy.com"/>
    <x v="12"/>
    <x v="26"/>
    <x v="1"/>
    <x v="35"/>
    <x v="0"/>
    <s v="No"/>
  </r>
  <r>
    <x v="181"/>
    <s v="Shulabh"/>
    <s v="Qutub Sundaramoorthy"/>
    <s v="squtub.sundaramoorthy@wikispaces.com"/>
    <x v="2"/>
    <x v="3"/>
    <x v="0"/>
    <x v="35"/>
    <x v="0"/>
    <s v="No"/>
  </r>
  <r>
    <x v="182"/>
    <s v="Piyali"/>
    <s v="Mahanthapa"/>
    <s v="pmahanthapa9@senate.gov"/>
    <x v="1"/>
    <x v="57"/>
    <x v="1"/>
    <x v="35"/>
    <x v="112"/>
    <s v="Yes"/>
  </r>
  <r>
    <x v="183"/>
    <s v="Shattesh"/>
    <s v="Utpat"/>
    <s v="sutpat1@github.com"/>
    <x v="9"/>
    <x v="34"/>
    <x v="2"/>
    <x v="35"/>
    <x v="55"/>
    <s v="Yes"/>
  </r>
  <r>
    <x v="184"/>
    <s v="Anjushri"/>
    <s v="Chandiramani"/>
    <s v="achandiramani3@theatlantic.com"/>
    <x v="1"/>
    <x v="13"/>
    <x v="0"/>
    <x v="35"/>
    <x v="113"/>
    <s v="Yes"/>
  </r>
  <r>
    <x v="185"/>
    <s v="Sameer"/>
    <s v="Shashank Sapra"/>
    <s v="sshashank.sapra@oaic.gov.au"/>
    <x v="0"/>
    <x v="27"/>
    <x v="2"/>
    <x v="35"/>
    <x v="114"/>
    <s v="Yes"/>
  </r>
  <r>
    <x v="186"/>
    <s v="Mayur"/>
    <s v="Kousika"/>
    <s v="mkousika4@typepad.com"/>
    <x v="11"/>
    <x v="11"/>
    <x v="0"/>
    <x v="35"/>
    <x v="115"/>
    <s v="Yes"/>
  </r>
  <r>
    <x v="187"/>
    <s v="Narois"/>
    <s v="Motiwala"/>
    <s v="nmotiwala@oracle.com"/>
    <x v="6"/>
    <x v="31"/>
    <x v="3"/>
    <x v="35"/>
    <x v="116"/>
    <s v="Yes"/>
  </r>
  <r>
    <x v="188"/>
    <s v="Shubhra"/>
    <s v="Potla"/>
    <s v="spotla1@1688.com"/>
    <x v="3"/>
    <x v="58"/>
    <x v="3"/>
    <x v="35"/>
    <x v="102"/>
    <s v="Yes"/>
  </r>
  <r>
    <x v="189"/>
    <s v="Sawini"/>
    <s v="Chandan"/>
    <s v="schandan@dot.gov"/>
    <x v="1"/>
    <x v="16"/>
    <x v="1"/>
    <x v="35"/>
    <x v="117"/>
    <s v="Yes"/>
  </r>
  <r>
    <x v="190"/>
    <s v="Ramalingam"/>
    <s v="Kothapeta"/>
    <s v="rkothapeta@nbcnews.com"/>
    <x v="0"/>
    <x v="23"/>
    <x v="0"/>
    <x v="36"/>
    <x v="118"/>
    <s v="Yes"/>
  </r>
  <r>
    <x v="191"/>
    <s v="Rupak"/>
    <s v="Mehra"/>
    <s v="rmehra@1und1.de"/>
    <x v="3"/>
    <x v="23"/>
    <x v="0"/>
    <x v="36"/>
    <x v="53"/>
    <s v="Yes"/>
  </r>
  <r>
    <x v="192"/>
    <s v="Sreenivasa"/>
    <s v="Naik Gudiwada"/>
    <s v="snaik.gudiwada3@indiatimes.com"/>
    <x v="3"/>
    <x v="9"/>
    <x v="0"/>
    <x v="36"/>
    <x v="119"/>
    <s v="Yes"/>
  </r>
  <r>
    <x v="193"/>
    <s v="Ilesh"/>
    <s v="Dasgupta"/>
    <s v="idasgupta1@yolasite.com"/>
    <x v="9"/>
    <x v="40"/>
    <x v="1"/>
    <x v="37"/>
    <x v="120"/>
    <s v="Yes"/>
  </r>
  <r>
    <x v="194"/>
    <s v="Kulbhushan"/>
    <s v="Moorthy"/>
    <s v="kmoorthy6@cmu.edu"/>
    <x v="8"/>
    <x v="44"/>
    <x v="0"/>
    <x v="37"/>
    <x v="121"/>
    <s v="Yes"/>
  </r>
  <r>
    <x v="195"/>
    <s v="Raghuveer"/>
    <s v="Yettugunna"/>
    <s v="ryettugunna@reddit.com"/>
    <x v="5"/>
    <x v="54"/>
    <x v="0"/>
    <x v="38"/>
    <x v="0"/>
    <s v="No"/>
  </r>
  <r>
    <x v="196"/>
    <s v="Anjushri"/>
    <s v="Chandiramani"/>
    <s v="achandiramani3@theatlantic.com"/>
    <x v="1"/>
    <x v="31"/>
    <x v="1"/>
    <x v="38"/>
    <x v="0"/>
    <s v="No"/>
  </r>
  <r>
    <x v="197"/>
    <s v="Devsena"/>
    <s v="Veluvalapalli"/>
    <s v="dveluvalapalli@adobe.com"/>
    <x v="9"/>
    <x v="3"/>
    <x v="0"/>
    <x v="38"/>
    <x v="71"/>
    <s v="Yes"/>
  </r>
  <r>
    <x v="198"/>
    <s v="Venkat"/>
    <s v="Kodi"/>
    <s v="vkodi4@reference.com"/>
    <x v="13"/>
    <x v="10"/>
    <x v="1"/>
    <x v="38"/>
    <x v="122"/>
    <s v="Yes"/>
  </r>
  <r>
    <x v="199"/>
    <s v="Jaipal"/>
    <s v="Potanapudi"/>
    <s v="jpotanapudi7@usnews.com"/>
    <x v="6"/>
    <x v="54"/>
    <x v="2"/>
    <x v="39"/>
    <x v="100"/>
    <s v="Yes"/>
  </r>
  <r>
    <x v="200"/>
    <s v="Ponnan"/>
    <s v="Delhi"/>
    <s v="pdelhi@yale.edu"/>
    <x v="1"/>
    <x v="10"/>
    <x v="0"/>
    <x v="39"/>
    <x v="123"/>
    <s v="Yes"/>
  </r>
  <r>
    <x v="201"/>
    <s v="Shubhra"/>
    <s v="Potla"/>
    <s v="spotla1@1688.com"/>
    <x v="3"/>
    <x v="15"/>
    <x v="0"/>
    <x v="40"/>
    <x v="0"/>
    <s v="No"/>
  </r>
  <r>
    <x v="202"/>
    <s v="Prerana"/>
    <s v="Nishita"/>
    <s v="pnishita5@google.de"/>
    <x v="2"/>
    <x v="19"/>
    <x v="1"/>
    <x v="40"/>
    <x v="124"/>
    <s v="Yes"/>
  </r>
  <r>
    <x v="203"/>
    <s v="Bhuvan"/>
    <s v="Pals"/>
    <s v="bpals@theatlantic.com"/>
    <x v="4"/>
    <x v="18"/>
    <x v="2"/>
    <x v="40"/>
    <x v="125"/>
    <s v="Yes"/>
  </r>
  <r>
    <x v="204"/>
    <s v="Devrat"/>
    <s v="Damarsingh"/>
    <s v="ddamarsingh@cam.ac.uk"/>
    <x v="1"/>
    <x v="46"/>
    <x v="0"/>
    <x v="40"/>
    <x v="65"/>
    <s v="Yes"/>
  </r>
  <r>
    <x v="205"/>
    <s v="Suman"/>
    <s v="Katte"/>
    <s v="skatte@flavors.me"/>
    <x v="2"/>
    <x v="0"/>
    <x v="2"/>
    <x v="41"/>
    <x v="0"/>
    <s v="No"/>
  </r>
  <r>
    <x v="206"/>
    <s v="Sameer"/>
    <s v="Shashank Sapra"/>
    <s v="sshashank.sapra@oaic.gov.au"/>
    <x v="0"/>
    <x v="28"/>
    <x v="1"/>
    <x v="41"/>
    <x v="0"/>
    <s v="No"/>
  </r>
  <r>
    <x v="207"/>
    <s v="Kaishori"/>
    <s v="Harathi Kateel"/>
    <s v="kharathi.kateel@home.pl"/>
    <x v="4"/>
    <x v="56"/>
    <x v="2"/>
    <x v="41"/>
    <x v="92"/>
    <s v="Yes"/>
  </r>
  <r>
    <x v="208"/>
    <s v="Raghuveer"/>
    <s v="Yettugunna"/>
    <s v="ryettugunna@reddit.com"/>
    <x v="5"/>
    <x v="3"/>
    <x v="1"/>
    <x v="41"/>
    <x v="73"/>
    <s v="Yes"/>
  </r>
  <r>
    <x v="209"/>
    <s v="Ayog"/>
    <s v="Chakrabarti"/>
    <s v="achakrabarti@elegantthemes.com"/>
    <x v="5"/>
    <x v="42"/>
    <x v="1"/>
    <x v="41"/>
    <x v="126"/>
    <s v="Yes"/>
  </r>
  <r>
    <x v="210"/>
    <s v="Upendra"/>
    <s v="Swati"/>
    <s v="uswati@naver.com"/>
    <x v="8"/>
    <x v="38"/>
    <x v="0"/>
    <x v="42"/>
    <x v="0"/>
    <s v="No"/>
  </r>
  <r>
    <x v="211"/>
    <s v="Sartaj"/>
    <s v="Probal"/>
    <s v="sprobal@webnode.com"/>
    <x v="13"/>
    <x v="27"/>
    <x v="0"/>
    <x v="42"/>
    <x v="127"/>
    <s v="Yes"/>
  </r>
  <r>
    <x v="212"/>
    <s v="Amlankusum"/>
    <s v="Rajabhushan"/>
    <s v="arajabhushan@yandex.ru"/>
    <x v="4"/>
    <x v="13"/>
    <x v="1"/>
    <x v="42"/>
    <x v="128"/>
    <s v="Yes"/>
  </r>
  <r>
    <x v="213"/>
    <s v="Deepit"/>
    <s v="Ranjana"/>
    <s v="dranjana@360.cn"/>
    <x v="8"/>
    <x v="2"/>
    <x v="2"/>
    <x v="43"/>
    <x v="59"/>
    <s v="Yes"/>
  </r>
  <r>
    <x v="214"/>
    <s v="Hridaynath"/>
    <s v="Tendulkar"/>
    <s v="htendulkar9@php.net"/>
    <x v="3"/>
    <x v="48"/>
    <x v="0"/>
    <x v="43"/>
    <x v="29"/>
    <s v="Yes"/>
  </r>
  <r>
    <x v="215"/>
    <s v="Sreenivasa"/>
    <s v="Naik Gudiwada"/>
    <s v="snaik.gudiwada3@indiatimes.com"/>
    <x v="3"/>
    <x v="55"/>
    <x v="1"/>
    <x v="43"/>
    <x v="26"/>
    <s v="Yes"/>
  </r>
  <r>
    <x v="216"/>
    <s v="Indu"/>
    <s v="Varada Sumedh"/>
    <s v="ivarada.sumedh@stumbleupon.com"/>
    <x v="1"/>
    <x v="44"/>
    <x v="0"/>
    <x v="43"/>
    <x v="129"/>
    <s v="Yes"/>
  </r>
  <r>
    <x v="217"/>
    <s v="Lalitchandra"/>
    <s v="Vadali"/>
    <s v="lvadali@alibaba.com"/>
    <x v="5"/>
    <x v="58"/>
    <x v="0"/>
    <x v="43"/>
    <x v="130"/>
    <s v="Yes"/>
  </r>
  <r>
    <x v="218"/>
    <s v="Abhaya"/>
    <s v="Priyavardhan"/>
    <s v="apriyavardhan9@netvibes.com"/>
    <x v="5"/>
    <x v="20"/>
    <x v="1"/>
    <x v="43"/>
    <x v="131"/>
    <s v="Yes"/>
  </r>
  <r>
    <x v="219"/>
    <s v="Ayog"/>
    <s v="Chakrabarti"/>
    <s v="achakrabarti@elegantthemes.com"/>
    <x v="5"/>
    <x v="23"/>
    <x v="2"/>
    <x v="44"/>
    <x v="82"/>
    <s v="Yes"/>
  </r>
  <r>
    <x v="220"/>
    <s v="Narois"/>
    <s v="Motiwala"/>
    <s v="nmotiwala@oracle.com"/>
    <x v="6"/>
    <x v="47"/>
    <x v="2"/>
    <x v="45"/>
    <x v="0"/>
    <s v="No"/>
  </r>
  <r>
    <x v="221"/>
    <s v="Rushil"/>
    <s v="Kripa"/>
    <s v="rkripa1@narod.ru"/>
    <x v="8"/>
    <x v="16"/>
    <x v="0"/>
    <x v="45"/>
    <x v="0"/>
    <s v="No"/>
  </r>
  <r>
    <x v="222"/>
    <s v="Mardav"/>
    <s v="Ramaswami"/>
    <s v="mramaswami2@indiatimes.com"/>
    <x v="3"/>
    <x v="25"/>
    <x v="1"/>
    <x v="45"/>
    <x v="0"/>
    <s v="No"/>
  </r>
  <r>
    <x v="223"/>
    <s v="Shubhra"/>
    <s v="Potla"/>
    <s v="spotla1@1688.com"/>
    <x v="3"/>
    <x v="59"/>
    <x v="1"/>
    <x v="45"/>
    <x v="131"/>
    <s v="Yes"/>
  </r>
  <r>
    <x v="224"/>
    <s v="Nazeer"/>
    <s v="Basha Mustafa"/>
    <s v="nbasha.mustafa@prweb.com"/>
    <x v="0"/>
    <x v="54"/>
    <x v="1"/>
    <x v="45"/>
    <x v="132"/>
    <s v="Yes"/>
  </r>
  <r>
    <x v="225"/>
    <s v="Amlankusum"/>
    <s v="Rajabhushan"/>
    <s v="arajabhushan@yandex.ru"/>
    <x v="4"/>
    <x v="15"/>
    <x v="1"/>
    <x v="46"/>
    <x v="0"/>
    <s v="No"/>
  </r>
  <r>
    <x v="226"/>
    <s v="Ayog"/>
    <s v="Chakrabarti"/>
    <s v="achakrabarti@elegantthemes.com"/>
    <x v="5"/>
    <x v="47"/>
    <x v="0"/>
    <x v="46"/>
    <x v="0"/>
    <s v="No"/>
  </r>
  <r>
    <x v="227"/>
    <s v="Shevantilal"/>
    <s v="Muppala"/>
    <s v="smuppala@stumbleupon.com"/>
    <x v="3"/>
    <x v="0"/>
    <x v="2"/>
    <x v="46"/>
    <x v="34"/>
    <s v="Yes"/>
  </r>
  <r>
    <x v="228"/>
    <s v="Devrat"/>
    <s v="Damarsingh"/>
    <s v="ddamarsingh@cam.ac.uk"/>
    <x v="1"/>
    <x v="30"/>
    <x v="0"/>
    <x v="46"/>
    <x v="133"/>
    <s v="Yes"/>
  </r>
  <r>
    <x v="229"/>
    <s v="Vasavi"/>
    <s v="Veeravasarapu"/>
    <s v="vveeravasarapu4@ibm.com"/>
    <x v="12"/>
    <x v="4"/>
    <x v="2"/>
    <x v="46"/>
    <x v="3"/>
    <s v="Yes"/>
  </r>
  <r>
    <x v="230"/>
    <s v="Gopal"/>
    <s v="Venkata"/>
    <s v="gvenkata@flavors.me"/>
    <x v="4"/>
    <x v="7"/>
    <x v="1"/>
    <x v="46"/>
    <x v="102"/>
    <s v="Yes"/>
  </r>
  <r>
    <x v="231"/>
    <s v="Anumati"/>
    <s v="Shyamari Meherhomji"/>
    <s v="ashyamari.meherhomji@apple.com"/>
    <x v="0"/>
    <x v="36"/>
    <x v="0"/>
    <x v="47"/>
    <x v="0"/>
    <s v="No"/>
  </r>
  <r>
    <x v="232"/>
    <s v="Kantimoy"/>
    <s v="Pritish"/>
    <s v="kpritish5@jigsy.com"/>
    <x v="12"/>
    <x v="21"/>
    <x v="1"/>
    <x v="47"/>
    <x v="0"/>
    <s v="No"/>
  </r>
  <r>
    <x v="233"/>
    <s v="Makshi"/>
    <s v="Vinutha"/>
    <s v="mvinutha6@samsung.com"/>
    <x v="7"/>
    <x v="16"/>
    <x v="3"/>
    <x v="47"/>
    <x v="134"/>
    <s v="Yes"/>
  </r>
  <r>
    <x v="234"/>
    <s v="Mahindra"/>
    <s v="Sreedharan"/>
    <s v="msreedharan1@tinypic.com"/>
    <x v="0"/>
    <x v="7"/>
    <x v="1"/>
    <x v="47"/>
    <x v="135"/>
    <s v="Yes"/>
  </r>
  <r>
    <x v="235"/>
    <s v="Ranajay"/>
    <s v="Kailashnath Richa"/>
    <s v="rkailashnath.richa8@wisc.edu"/>
    <x v="5"/>
    <x v="51"/>
    <x v="0"/>
    <x v="47"/>
    <x v="128"/>
    <s v="Yes"/>
  </r>
  <r>
    <x v="236"/>
    <s v="Shevantilal"/>
    <s v="Muppala"/>
    <s v="smuppala@stumbleupon.com"/>
    <x v="3"/>
    <x v="60"/>
    <x v="2"/>
    <x v="48"/>
    <x v="0"/>
    <s v="No"/>
  </r>
  <r>
    <x v="237"/>
    <s v="Tarala"/>
    <s v="Vishaal"/>
    <s v="tvishaal@mozilla.org"/>
    <x v="1"/>
    <x v="5"/>
    <x v="0"/>
    <x v="48"/>
    <x v="0"/>
    <s v="No"/>
  </r>
  <r>
    <x v="238"/>
    <s v="Shiuli"/>
    <s v="Sapna"/>
    <s v="ssapna@slate.com"/>
    <x v="4"/>
    <x v="41"/>
    <x v="1"/>
    <x v="48"/>
    <x v="136"/>
    <s v="Yes"/>
  </r>
  <r>
    <x v="239"/>
    <s v="Prasanna"/>
    <s v="Lakshmi Payasam"/>
    <s v="plakshmi.payasam2@apache.org"/>
    <x v="3"/>
    <x v="36"/>
    <x v="2"/>
    <x v="48"/>
    <x v="137"/>
    <s v="Yes"/>
  </r>
  <r>
    <x v="240"/>
    <s v="Mahindra"/>
    <s v="Sreedharan"/>
    <s v="msreedharan1@tinypic.com"/>
    <x v="0"/>
    <x v="15"/>
    <x v="2"/>
    <x v="48"/>
    <x v="138"/>
    <s v="Yes"/>
  </r>
  <r>
    <x v="241"/>
    <s v="Sreenivasa"/>
    <s v="Naik Gudiwada"/>
    <s v="snaik.gudiwada3@indiatimes.com"/>
    <x v="3"/>
    <x v="24"/>
    <x v="1"/>
    <x v="48"/>
    <x v="139"/>
    <s v="Yes"/>
  </r>
  <r>
    <x v="242"/>
    <s v="Agrata"/>
    <s v="Rajarama"/>
    <s v="arajarama9@360.cn"/>
    <x v="1"/>
    <x v="49"/>
    <x v="0"/>
    <x v="49"/>
    <x v="140"/>
    <s v="Yes"/>
  </r>
  <r>
    <x v="243"/>
    <s v="Pragya"/>
    <s v="Nilufar"/>
    <s v="pnilufar4@comsenz.com"/>
    <x v="4"/>
    <x v="13"/>
    <x v="1"/>
    <x v="49"/>
    <x v="35"/>
    <s v="Yes"/>
  </r>
  <r>
    <x v="244"/>
    <s v="Ramnath"/>
    <s v="Ravuri"/>
    <s v="rravuri8@blinklist.com"/>
    <x v="1"/>
    <x v="15"/>
    <x v="1"/>
    <x v="49"/>
    <x v="141"/>
    <s v="Yes"/>
  </r>
  <r>
    <x v="245"/>
    <s v="Sukhdev"/>
    <s v="Nageshwar"/>
    <s v="snageshwar@ucla.edu"/>
    <x v="10"/>
    <x v="7"/>
    <x v="0"/>
    <x v="49"/>
    <x v="33"/>
    <s v="Yes"/>
  </r>
  <r>
    <x v="246"/>
    <s v="Bhuvan"/>
    <s v="Pals"/>
    <s v="bpals@theatlantic.com"/>
    <x v="4"/>
    <x v="3"/>
    <x v="0"/>
    <x v="49"/>
    <x v="142"/>
    <s v="Yes"/>
  </r>
  <r>
    <x v="247"/>
    <s v="Yedukondalu"/>
    <s v="Panditula"/>
    <s v="ypanditula@hugedomains.com"/>
    <x v="0"/>
    <x v="30"/>
    <x v="1"/>
    <x v="50"/>
    <x v="0"/>
    <s v="No"/>
  </r>
  <r>
    <x v="248"/>
    <s v="Amlankusum"/>
    <s v="Rajabhushan"/>
    <s v="arajabhushan@yandex.ru"/>
    <x v="4"/>
    <x v="45"/>
    <x v="1"/>
    <x v="50"/>
    <x v="31"/>
    <s v="Yes"/>
  </r>
  <r>
    <x v="249"/>
    <s v="Chandana"/>
    <s v="Sannidhi Surnilla"/>
    <s v="csannidhi.surnilla@nydailynews.com"/>
    <x v="7"/>
    <x v="42"/>
    <x v="1"/>
    <x v="50"/>
    <x v="121"/>
    <s v="Yes"/>
  </r>
  <r>
    <x v="250"/>
    <s v="Hemavati"/>
    <s v="Muthiah"/>
    <s v="hmuthiah@theatlantic.com"/>
    <x v="2"/>
    <x v="21"/>
    <x v="2"/>
    <x v="50"/>
    <x v="131"/>
    <s v="Yes"/>
  </r>
  <r>
    <x v="251"/>
    <s v="Abhaya"/>
    <s v="Priyavardhan"/>
    <s v="apriyavardhan9@netvibes.com"/>
    <x v="5"/>
    <x v="47"/>
    <x v="2"/>
    <x v="50"/>
    <x v="143"/>
    <s v="Yes"/>
  </r>
  <r>
    <x v="252"/>
    <s v="Godavari"/>
    <s v="Veena"/>
    <s v="gveena3@pcworld.com"/>
    <x v="8"/>
    <x v="40"/>
    <x v="0"/>
    <x v="51"/>
    <x v="0"/>
    <s v="No"/>
  </r>
  <r>
    <x v="253"/>
    <s v="Shubhra"/>
    <s v="Potla"/>
    <s v="spotla1@1688.com"/>
    <x v="3"/>
    <x v="7"/>
    <x v="0"/>
    <x v="51"/>
    <x v="0"/>
    <s v="No"/>
  </r>
  <r>
    <x v="254"/>
    <s v="Agrata"/>
    <s v="Rajarama"/>
    <s v="arajarama9@360.cn"/>
    <x v="1"/>
    <x v="13"/>
    <x v="0"/>
    <x v="51"/>
    <x v="0"/>
    <s v="No"/>
  </r>
  <r>
    <x v="255"/>
    <s v="Sameer"/>
    <s v="Shashank Sapra"/>
    <s v="sshashank.sapra@oaic.gov.au"/>
    <x v="0"/>
    <x v="19"/>
    <x v="0"/>
    <x v="52"/>
    <x v="0"/>
    <s v="No"/>
  </r>
  <r>
    <x v="256"/>
    <s v="Abhaya"/>
    <s v="Priyavardhan"/>
    <s v="apriyavardhan9@netvibes.com"/>
    <x v="5"/>
    <x v="16"/>
    <x v="1"/>
    <x v="52"/>
    <x v="0"/>
    <s v="No"/>
  </r>
  <r>
    <x v="257"/>
    <s v="Agrata"/>
    <s v="Rajarama"/>
    <s v="arajarama9@360.cn"/>
    <x v="1"/>
    <x v="7"/>
    <x v="3"/>
    <x v="52"/>
    <x v="144"/>
    <s v="Yes"/>
  </r>
  <r>
    <x v="258"/>
    <s v="Sahaj"/>
    <s v="Jonnalagadda"/>
    <s v="sjonnalagadda@globo.com"/>
    <x v="5"/>
    <x v="6"/>
    <x v="2"/>
    <x v="52"/>
    <x v="145"/>
    <s v="Yes"/>
  </r>
  <r>
    <x v="259"/>
    <s v="Raghuveer"/>
    <s v="Yettugunna"/>
    <s v="ryettugunna@reddit.com"/>
    <x v="5"/>
    <x v="53"/>
    <x v="0"/>
    <x v="52"/>
    <x v="22"/>
    <s v="Yes"/>
  </r>
  <r>
    <x v="260"/>
    <s v="Gopal"/>
    <s v="Venkata"/>
    <s v="gvenkata@flavors.me"/>
    <x v="4"/>
    <x v="10"/>
    <x v="0"/>
    <x v="53"/>
    <x v="0"/>
    <s v="No"/>
  </r>
  <r>
    <x v="261"/>
    <s v="Suman"/>
    <s v="Katte"/>
    <s v="skatte@flavors.me"/>
    <x v="2"/>
    <x v="37"/>
    <x v="1"/>
    <x v="53"/>
    <x v="146"/>
    <s v="Yes"/>
  </r>
  <r>
    <x v="262"/>
    <s v="Shevantilal"/>
    <s v="Muppala"/>
    <s v="smuppala@stumbleupon.com"/>
    <x v="3"/>
    <x v="16"/>
    <x v="0"/>
    <x v="53"/>
    <x v="147"/>
    <s v="Yes"/>
  </r>
  <r>
    <x v="263"/>
    <s v="Rameshwari"/>
    <s v="Chikodi"/>
    <s v="rchikodi6@histats.com"/>
    <x v="7"/>
    <x v="27"/>
    <x v="3"/>
    <x v="53"/>
    <x v="148"/>
    <s v="Yes"/>
  </r>
  <r>
    <x v="264"/>
    <s v="Lalit"/>
    <s v="Kothari"/>
    <s v="lkothari@blogtalkradio.com"/>
    <x v="0"/>
    <x v="29"/>
    <x v="2"/>
    <x v="53"/>
    <x v="149"/>
    <s v="Yes"/>
  </r>
  <r>
    <x v="265"/>
    <s v="Ramnath"/>
    <s v="Ravuri"/>
    <s v="rravuri8@blinklist.com"/>
    <x v="1"/>
    <x v="32"/>
    <x v="3"/>
    <x v="54"/>
    <x v="0"/>
    <s v="No"/>
  </r>
  <r>
    <x v="266"/>
    <s v="Devrat"/>
    <s v="Damarsingh"/>
    <s v="ddamarsingh@cam.ac.uk"/>
    <x v="1"/>
    <x v="24"/>
    <x v="2"/>
    <x v="54"/>
    <x v="37"/>
    <s v="Yes"/>
  </r>
  <r>
    <x v="267"/>
    <s v="Vasavi"/>
    <s v="Veeravasarapu"/>
    <s v="vveeravasarapu4@ibm.com"/>
    <x v="12"/>
    <x v="19"/>
    <x v="3"/>
    <x v="54"/>
    <x v="150"/>
    <s v="Yes"/>
  </r>
  <r>
    <x v="268"/>
    <s v="Mahindra"/>
    <s v="Sreedharan"/>
    <s v="msreedharan1@tinypic.com"/>
    <x v="0"/>
    <x v="57"/>
    <x v="2"/>
    <x v="54"/>
    <x v="94"/>
    <s v="Yes"/>
  </r>
  <r>
    <x v="269"/>
    <s v="Prerana"/>
    <s v="Nishita"/>
    <s v="pnishita5@google.de"/>
    <x v="2"/>
    <x v="11"/>
    <x v="0"/>
    <x v="54"/>
    <x v="98"/>
    <s v="Yes"/>
  </r>
  <r>
    <x v="270"/>
    <s v="Jagajeet"/>
    <s v="Viraj"/>
    <s v="jviraj@nba.com"/>
    <x v="7"/>
    <x v="37"/>
    <x v="0"/>
    <x v="54"/>
    <x v="151"/>
    <s v="Yes"/>
  </r>
  <r>
    <x v="271"/>
    <s v="John"/>
    <s v="Joseph"/>
    <s v="jjoseph@bluehost.com"/>
    <x v="3"/>
    <x v="22"/>
    <x v="0"/>
    <x v="54"/>
    <x v="152"/>
    <s v="Yes"/>
  </r>
  <r>
    <x v="272"/>
    <s v="Sarayu"/>
    <s v="Ragunathan"/>
    <s v="sragunathan2@nhs.uk"/>
    <x v="3"/>
    <x v="0"/>
    <x v="2"/>
    <x v="55"/>
    <x v="0"/>
    <s v="No"/>
  </r>
  <r>
    <x v="273"/>
    <s v="Gopal"/>
    <s v="Venkata"/>
    <s v="gvenkata@flavors.me"/>
    <x v="4"/>
    <x v="28"/>
    <x v="0"/>
    <x v="55"/>
    <x v="0"/>
    <s v="No"/>
  </r>
  <r>
    <x v="274"/>
    <s v="Ramalingam"/>
    <s v="Kothapeta"/>
    <s v="rkothapeta@nbcnews.com"/>
    <x v="0"/>
    <x v="14"/>
    <x v="2"/>
    <x v="55"/>
    <x v="153"/>
    <s v="Yes"/>
  </r>
  <r>
    <x v="275"/>
    <s v="Asija"/>
    <s v="Pothireddy"/>
    <s v="apothireddy@psu.edu"/>
    <x v="4"/>
    <x v="41"/>
    <x v="1"/>
    <x v="55"/>
    <x v="154"/>
    <s v="Yes"/>
  </r>
  <r>
    <x v="276"/>
    <s v="Sahaj"/>
    <s v="Jonnalagadda"/>
    <s v="sjonnalagadda@globo.com"/>
    <x v="5"/>
    <x v="38"/>
    <x v="1"/>
    <x v="55"/>
    <x v="146"/>
    <s v="Yes"/>
  </r>
  <r>
    <x v="277"/>
    <s v="Madhumati"/>
    <s v="Gazala Soumitra"/>
    <s v="mgazala.soumitra4@domainmarket.com"/>
    <x v="5"/>
    <x v="4"/>
    <x v="2"/>
    <x v="55"/>
    <x v="127"/>
    <s v="Yes"/>
  </r>
  <r>
    <x v="278"/>
    <s v="Suman"/>
    <s v="Katte"/>
    <s v="skatte@flavors.me"/>
    <x v="2"/>
    <x v="34"/>
    <x v="0"/>
    <x v="56"/>
    <x v="0"/>
    <s v="No"/>
  </r>
  <r>
    <x v="279"/>
    <s v="Subbarao"/>
    <s v="Malladi"/>
    <s v="smalladi@gmpg.org"/>
    <x v="3"/>
    <x v="12"/>
    <x v="1"/>
    <x v="56"/>
    <x v="0"/>
    <s v="No"/>
  </r>
  <r>
    <x v="280"/>
    <s v="Gumwant"/>
    <s v="Veera"/>
    <s v="gveera9@tuttocitta.it"/>
    <x v="4"/>
    <x v="42"/>
    <x v="0"/>
    <x v="56"/>
    <x v="0"/>
    <s v="No"/>
  </r>
  <r>
    <x v="281"/>
    <s v="Mahindra"/>
    <s v="Sreedharan"/>
    <s v="msreedharan1@tinypic.com"/>
    <x v="0"/>
    <x v="37"/>
    <x v="1"/>
    <x v="56"/>
    <x v="0"/>
    <s v="No"/>
  </r>
  <r>
    <x v="282"/>
    <s v="Ranajay"/>
    <s v="Kailashnath Richa"/>
    <s v="rkailashnath.richa8@wisc.edu"/>
    <x v="5"/>
    <x v="32"/>
    <x v="0"/>
    <x v="56"/>
    <x v="0"/>
    <s v="No"/>
  </r>
  <r>
    <x v="283"/>
    <s v="Sahas"/>
    <s v="Sanabhi Shrikant"/>
    <s v="ssanabhi.shrikant3@ted.com"/>
    <x v="0"/>
    <x v="11"/>
    <x v="1"/>
    <x v="56"/>
    <x v="127"/>
    <s v="Yes"/>
  </r>
  <r>
    <x v="284"/>
    <s v="Raghuveer"/>
    <s v="Yettugunna"/>
    <s v="ryettugunna@reddit.com"/>
    <x v="5"/>
    <x v="34"/>
    <x v="1"/>
    <x v="56"/>
    <x v="94"/>
    <s v="Yes"/>
  </r>
  <r>
    <x v="285"/>
    <s v="Devasree"/>
    <s v="Fullara Saurin"/>
    <s v="dfullara.saurin3@prnewswire.com"/>
    <x v="8"/>
    <x v="20"/>
    <x v="1"/>
    <x v="56"/>
    <x v="9"/>
    <s v="Yes"/>
  </r>
  <r>
    <x v="286"/>
    <s v="Shiuli"/>
    <s v="Sapna"/>
    <s v="ssapna@slate.com"/>
    <x v="4"/>
    <x v="5"/>
    <x v="3"/>
    <x v="56"/>
    <x v="101"/>
    <s v="Yes"/>
  </r>
  <r>
    <x v="287"/>
    <s v="Kaishori"/>
    <s v="Harathi Kateel"/>
    <s v="kharathi.kateel@home.pl"/>
    <x v="4"/>
    <x v="13"/>
    <x v="2"/>
    <x v="56"/>
    <x v="155"/>
    <s v="Yes"/>
  </r>
  <r>
    <x v="288"/>
    <s v="Pragya"/>
    <s v="Nilufar"/>
    <s v="pnilufar4@comsenz.com"/>
    <x v="4"/>
    <x v="56"/>
    <x v="1"/>
    <x v="56"/>
    <x v="94"/>
    <s v="Yes"/>
  </r>
  <r>
    <x v="289"/>
    <s v="Ayog"/>
    <s v="Chakrabarti"/>
    <s v="achakrabarti@elegantthemes.com"/>
    <x v="5"/>
    <x v="35"/>
    <x v="0"/>
    <x v="56"/>
    <x v="156"/>
    <s v="Yes"/>
  </r>
  <r>
    <x v="290"/>
    <s v="Shevantilal"/>
    <s v="Muppala"/>
    <s v="smuppala@stumbleupon.com"/>
    <x v="3"/>
    <x v="15"/>
    <x v="2"/>
    <x v="57"/>
    <x v="0"/>
    <s v="No"/>
  </r>
  <r>
    <x v="291"/>
    <s v="Dinanath"/>
    <s v="Simhambhatla"/>
    <s v="dsimhambhatla@amazon.co.jp"/>
    <x v="13"/>
    <x v="5"/>
    <x v="1"/>
    <x v="57"/>
    <x v="0"/>
    <s v="No"/>
  </r>
  <r>
    <x v="292"/>
    <s v="Duran"/>
    <s v="Appala"/>
    <s v="dappala@elegantthemes.com"/>
    <x v="3"/>
    <x v="5"/>
    <x v="0"/>
    <x v="57"/>
    <x v="77"/>
    <s v="Yes"/>
  </r>
  <r>
    <x v="293"/>
    <s v="Kunja"/>
    <s v="Prashanta Vibha"/>
    <s v="kprashanta.vibha6@samsung.com"/>
    <x v="0"/>
    <x v="47"/>
    <x v="0"/>
    <x v="57"/>
    <x v="47"/>
    <s v="Yes"/>
  </r>
  <r>
    <x v="294"/>
    <s v="Vasu"/>
    <s v="Nandin"/>
    <s v="vnandin@zimbio.com"/>
    <x v="0"/>
    <x v="21"/>
    <x v="1"/>
    <x v="57"/>
    <x v="157"/>
    <s v="Yes"/>
  </r>
  <r>
    <x v="295"/>
    <s v="Suman"/>
    <s v="Katte"/>
    <s v="skatte@flavors.me"/>
    <x v="2"/>
    <x v="16"/>
    <x v="2"/>
    <x v="58"/>
    <x v="0"/>
    <s v="No"/>
  </r>
  <r>
    <x v="296"/>
    <s v="Krittika"/>
    <s v="Gaekwad"/>
    <s v="kgaekwad@mit.edu"/>
    <x v="2"/>
    <x v="60"/>
    <x v="2"/>
    <x v="58"/>
    <x v="0"/>
    <s v="No"/>
  </r>
  <r>
    <x v="297"/>
    <s v="Kamalakshi"/>
    <s v="Mukundan"/>
    <s v="kmukundan7@netlog.com"/>
    <x v="9"/>
    <x v="22"/>
    <x v="3"/>
    <x v="58"/>
    <x v="0"/>
    <s v="No"/>
  </r>
  <r>
    <x v="298"/>
    <s v="John"/>
    <s v="Joseph"/>
    <s v="jjoseph@bluehost.com"/>
    <x v="3"/>
    <x v="61"/>
    <x v="1"/>
    <x v="58"/>
    <x v="55"/>
    <s v="Yes"/>
  </r>
  <r>
    <x v="299"/>
    <s v="Raghuveer"/>
    <s v="Yettugunna"/>
    <s v="ryettugunna@reddit.com"/>
    <x v="5"/>
    <x v="29"/>
    <x v="2"/>
    <x v="59"/>
    <x v="16"/>
    <s v="Yes"/>
  </r>
  <r>
    <x v="300"/>
    <s v="Bhuvan"/>
    <s v="Pals"/>
    <s v="bpals@theatlantic.com"/>
    <x v="4"/>
    <x v="10"/>
    <x v="0"/>
    <x v="59"/>
    <x v="158"/>
    <s v="Yes"/>
  </r>
  <r>
    <x v="301"/>
    <s v="Hridaynath"/>
    <s v="Tendulkar"/>
    <s v="htendulkar9@php.net"/>
    <x v="3"/>
    <x v="52"/>
    <x v="0"/>
    <x v="59"/>
    <x v="159"/>
    <s v="Yes"/>
  </r>
  <r>
    <x v="302"/>
    <s v="Vasu"/>
    <s v="Nandin"/>
    <s v="vnandin@zimbio.com"/>
    <x v="0"/>
    <x v="53"/>
    <x v="0"/>
    <x v="59"/>
    <x v="160"/>
    <s v="Yes"/>
  </r>
  <r>
    <x v="303"/>
    <s v="Hridaynath"/>
    <s v="Tendulkar"/>
    <s v="htendulkar9@php.net"/>
    <x v="3"/>
    <x v="38"/>
    <x v="2"/>
    <x v="60"/>
    <x v="0"/>
    <s v="No"/>
  </r>
  <r>
    <x v="304"/>
    <s v="Gowri"/>
    <s v="Sankar Chakrala"/>
    <s v="gsankar.chakrala@spotify.com"/>
    <x v="0"/>
    <x v="59"/>
    <x v="0"/>
    <x v="60"/>
    <x v="161"/>
    <s v="Yes"/>
  </r>
  <r>
    <x v="305"/>
    <s v="Bhuvan"/>
    <s v="Pals"/>
    <s v="bpals@theatlantic.com"/>
    <x v="4"/>
    <x v="3"/>
    <x v="2"/>
    <x v="60"/>
    <x v="162"/>
    <s v="Yes"/>
  </r>
  <r>
    <x v="306"/>
    <s v="Geena"/>
    <s v="Raghavanpillai"/>
    <s v="graghavanpillai6@g.co"/>
    <x v="3"/>
    <x v="22"/>
    <x v="2"/>
    <x v="60"/>
    <x v="163"/>
    <s v="Yes"/>
  </r>
  <r>
    <x v="307"/>
    <s v="Geena"/>
    <s v="Raghavanpillai"/>
    <s v="graghavanpillai6@g.co"/>
    <x v="3"/>
    <x v="13"/>
    <x v="1"/>
    <x v="60"/>
    <x v="164"/>
    <s v="Yes"/>
  </r>
  <r>
    <x v="308"/>
    <s v="Deepit"/>
    <s v="Ranjana"/>
    <s v="dranjana@360.cn"/>
    <x v="8"/>
    <x v="39"/>
    <x v="1"/>
    <x v="60"/>
    <x v="165"/>
    <s v="Yes"/>
  </r>
  <r>
    <x v="309"/>
    <s v="Sawini"/>
    <s v="Chandan"/>
    <s v="schandan@dot.gov"/>
    <x v="1"/>
    <x v="42"/>
    <x v="1"/>
    <x v="60"/>
    <x v="61"/>
    <s v="Yes"/>
  </r>
  <r>
    <x v="310"/>
    <s v="Gowri"/>
    <s v="Sankar Chakrala"/>
    <s v="gsankar.chakrala@spotify.com"/>
    <x v="0"/>
    <x v="4"/>
    <x v="0"/>
    <x v="60"/>
    <x v="89"/>
    <s v="Yes"/>
  </r>
  <r>
    <x v="311"/>
    <s v="Chandana"/>
    <s v="Sannidhi Surnilla"/>
    <s v="csannidhi.surnilla@nydailynews.com"/>
    <x v="7"/>
    <x v="7"/>
    <x v="1"/>
    <x v="61"/>
    <x v="0"/>
    <s v="No"/>
  </r>
  <r>
    <x v="312"/>
    <s v="Lalit"/>
    <s v="Kothari"/>
    <s v="lkothari@blogtalkradio.com"/>
    <x v="0"/>
    <x v="22"/>
    <x v="2"/>
    <x v="61"/>
    <x v="6"/>
    <s v="Yes"/>
  </r>
  <r>
    <x v="313"/>
    <s v="Hridaynath"/>
    <s v="Tendulkar"/>
    <s v="htendulkar9@php.net"/>
    <x v="3"/>
    <x v="31"/>
    <x v="1"/>
    <x v="61"/>
    <x v="148"/>
    <s v="Yes"/>
  </r>
  <r>
    <x v="314"/>
    <s v="Ilesh"/>
    <s v="Dasgupta"/>
    <s v="idasgupta1@yolasite.com"/>
    <x v="9"/>
    <x v="54"/>
    <x v="1"/>
    <x v="61"/>
    <x v="166"/>
    <s v="Yes"/>
  </r>
  <r>
    <x v="315"/>
    <s v="Kunja"/>
    <s v="Prashanta Vibha"/>
    <s v="kprashanta.vibha6@samsung.com"/>
    <x v="0"/>
    <x v="38"/>
    <x v="1"/>
    <x v="61"/>
    <x v="130"/>
    <s v="Yes"/>
  </r>
  <r>
    <x v="316"/>
    <s v="Anjushri"/>
    <s v="Chandiramani"/>
    <s v="achandiramani3@theatlantic.com"/>
    <x v="1"/>
    <x v="25"/>
    <x v="1"/>
    <x v="62"/>
    <x v="0"/>
    <s v="No"/>
  </r>
  <r>
    <x v="317"/>
    <s v="Mayur"/>
    <s v="Kousika"/>
    <s v="mkousika4@typepad.com"/>
    <x v="11"/>
    <x v="59"/>
    <x v="0"/>
    <x v="62"/>
    <x v="44"/>
    <s v="Yes"/>
  </r>
  <r>
    <x v="318"/>
    <s v="Asija"/>
    <s v="Pothireddy"/>
    <s v="apothireddy@psu.edu"/>
    <x v="4"/>
    <x v="41"/>
    <x v="1"/>
    <x v="62"/>
    <x v="167"/>
    <s v="Yes"/>
  </r>
  <r>
    <x v="319"/>
    <s v="Devasree"/>
    <s v="Fullara Saurin"/>
    <s v="dfullara.saurin3@prnewswire.com"/>
    <x v="8"/>
    <x v="14"/>
    <x v="0"/>
    <x v="62"/>
    <x v="42"/>
    <s v="Yes"/>
  </r>
  <r>
    <x v="320"/>
    <s v="Prerana"/>
    <s v="Nishita"/>
    <s v="pnishita5@google.de"/>
    <x v="2"/>
    <x v="44"/>
    <x v="2"/>
    <x v="63"/>
    <x v="46"/>
    <s v="Yes"/>
  </r>
  <r>
    <x v="321"/>
    <s v="Prerana"/>
    <s v="Nishita"/>
    <s v="pnishita5@google.de"/>
    <x v="2"/>
    <x v="56"/>
    <x v="2"/>
    <x v="63"/>
    <x v="168"/>
    <s v="Yes"/>
  </r>
  <r>
    <x v="322"/>
    <s v="Tarala"/>
    <s v="Vishaal"/>
    <s v="tvishaal@mozilla.org"/>
    <x v="1"/>
    <x v="10"/>
    <x v="1"/>
    <x v="63"/>
    <x v="79"/>
    <s v="Yes"/>
  </r>
  <r>
    <x v="323"/>
    <s v="Rupak"/>
    <s v="Mehra"/>
    <s v="rmehra@1und1.de"/>
    <x v="3"/>
    <x v="41"/>
    <x v="0"/>
    <x v="63"/>
    <x v="169"/>
    <s v="Yes"/>
  </r>
  <r>
    <x v="324"/>
    <s v="Krishnakanta"/>
    <s v="Vellanki"/>
    <s v="kvellanki2@netscape.com"/>
    <x v="5"/>
    <x v="55"/>
    <x v="0"/>
    <x v="63"/>
    <x v="170"/>
    <s v="Yes"/>
  </r>
  <r>
    <x v="325"/>
    <s v="Devsena"/>
    <s v="Veluvalapalli"/>
    <s v="dveluvalapalli@adobe.com"/>
    <x v="9"/>
    <x v="6"/>
    <x v="0"/>
    <x v="64"/>
    <x v="0"/>
    <s v="No"/>
  </r>
  <r>
    <x v="326"/>
    <s v="Sartaj"/>
    <s v="Probal"/>
    <s v="sprobal@webnode.com"/>
    <x v="13"/>
    <x v="15"/>
    <x v="1"/>
    <x v="64"/>
    <x v="0"/>
    <s v="No"/>
  </r>
  <r>
    <x v="327"/>
    <s v="Devasree"/>
    <s v="Fullara Saurin"/>
    <s v="dfullara.saurin3@prnewswire.com"/>
    <x v="8"/>
    <x v="8"/>
    <x v="1"/>
    <x v="64"/>
    <x v="0"/>
    <s v="No"/>
  </r>
  <r>
    <x v="328"/>
    <s v="Pratigya"/>
    <s v="Rema"/>
    <s v="prema@hubpages.com"/>
    <x v="7"/>
    <x v="25"/>
    <x v="0"/>
    <x v="64"/>
    <x v="171"/>
    <s v="Yes"/>
  </r>
  <r>
    <x v="329"/>
    <s v="Parasuramudu"/>
    <s v="Jamakayala"/>
    <s v="pjamakayala@hhs.gov"/>
    <x v="4"/>
    <x v="41"/>
    <x v="0"/>
    <x v="64"/>
    <x v="16"/>
    <s v="Yes"/>
  </r>
  <r>
    <x v="330"/>
    <s v="Ramalingam"/>
    <s v="Kothapeta"/>
    <s v="rkothapeta@nbcnews.com"/>
    <x v="0"/>
    <x v="55"/>
    <x v="1"/>
    <x v="64"/>
    <x v="172"/>
    <s v="Yes"/>
  </r>
  <r>
    <x v="331"/>
    <s v="Piyali"/>
    <s v="Mahanthapa"/>
    <s v="pmahanthapa9@senate.gov"/>
    <x v="1"/>
    <x v="9"/>
    <x v="1"/>
    <x v="65"/>
    <x v="0"/>
    <s v="No"/>
  </r>
  <r>
    <x v="332"/>
    <s v="Vinanti"/>
    <s v="Choudhari"/>
    <s v="vchoudhari6@businessinsider.com"/>
    <x v="2"/>
    <x v="61"/>
    <x v="0"/>
    <x v="65"/>
    <x v="0"/>
    <s v="No"/>
  </r>
  <r>
    <x v="333"/>
    <s v="Indu"/>
    <s v="Varada Sumedh"/>
    <s v="ivarada.sumedh@stumbleupon.com"/>
    <x v="1"/>
    <x v="10"/>
    <x v="0"/>
    <x v="65"/>
    <x v="77"/>
    <s v="Yes"/>
  </r>
  <r>
    <x v="334"/>
    <s v="Gowri"/>
    <s v="Sankar Chakrala"/>
    <s v="gsankar.chakrala@spotify.com"/>
    <x v="0"/>
    <x v="31"/>
    <x v="2"/>
    <x v="65"/>
    <x v="78"/>
    <s v="Yes"/>
  </r>
  <r>
    <x v="335"/>
    <s v="Lalit"/>
    <s v="Kothari"/>
    <s v="lkothari@blogtalkradio.com"/>
    <x v="0"/>
    <x v="22"/>
    <x v="0"/>
    <x v="66"/>
    <x v="0"/>
    <s v="No"/>
  </r>
  <r>
    <x v="336"/>
    <s v="Jagajeet"/>
    <s v="Viraj"/>
    <s v="jviraj@nba.com"/>
    <x v="7"/>
    <x v="41"/>
    <x v="1"/>
    <x v="66"/>
    <x v="0"/>
    <s v="No"/>
  </r>
  <r>
    <x v="337"/>
    <s v="Kaishori"/>
    <s v="Harathi Kateel"/>
    <s v="kharathi.kateel@home.pl"/>
    <x v="4"/>
    <x v="15"/>
    <x v="0"/>
    <x v="66"/>
    <x v="173"/>
    <s v="Yes"/>
  </r>
  <r>
    <x v="338"/>
    <s v="Devasree"/>
    <s v="Fullara Saurin"/>
    <s v="dfullara.saurin3@prnewswire.com"/>
    <x v="8"/>
    <x v="8"/>
    <x v="2"/>
    <x v="66"/>
    <x v="174"/>
    <s v="Yes"/>
  </r>
  <r>
    <x v="339"/>
    <s v="Karuna"/>
    <s v="Pashupathy"/>
    <s v="kpashupathy3@netlog.com"/>
    <x v="3"/>
    <x v="10"/>
    <x v="0"/>
    <x v="67"/>
    <x v="0"/>
    <s v="No"/>
  </r>
  <r>
    <x v="340"/>
    <s v="Devasree"/>
    <s v="Fullara Saurin"/>
    <s v="dfullara.saurin3@prnewswire.com"/>
    <x v="8"/>
    <x v="33"/>
    <x v="1"/>
    <x v="67"/>
    <x v="12"/>
    <s v="Yes"/>
  </r>
  <r>
    <x v="341"/>
    <s v="Vasavi"/>
    <s v="Veeravasarapu"/>
    <s v="vveeravasarapu4@ibm.com"/>
    <x v="12"/>
    <x v="33"/>
    <x v="1"/>
    <x v="67"/>
    <x v="175"/>
    <s v="Yes"/>
  </r>
  <r>
    <x v="342"/>
    <s v="Chandana"/>
    <s v="Sannidhi Surnilla"/>
    <s v="csannidhi.surnilla@nydailynews.com"/>
    <x v="7"/>
    <x v="3"/>
    <x v="0"/>
    <x v="67"/>
    <x v="127"/>
    <s v="Yes"/>
  </r>
  <r>
    <x v="343"/>
    <s v="Kulbhushan"/>
    <s v="Moorthy"/>
    <s v="kmoorthy6@cmu.edu"/>
    <x v="8"/>
    <x v="48"/>
    <x v="0"/>
    <x v="67"/>
    <x v="176"/>
    <s v="Yes"/>
  </r>
  <r>
    <x v="344"/>
    <s v="Tarala"/>
    <s v="Vishaal"/>
    <s v="tvishaal@mozilla.org"/>
    <x v="1"/>
    <x v="44"/>
    <x v="1"/>
    <x v="67"/>
    <x v="79"/>
    <s v="Yes"/>
  </r>
  <r>
    <x v="345"/>
    <s v="Nazeer"/>
    <s v="Basha Mustafa"/>
    <s v="nbasha.mustafa@prweb.com"/>
    <x v="0"/>
    <x v="10"/>
    <x v="2"/>
    <x v="68"/>
    <x v="0"/>
    <s v="No"/>
  </r>
  <r>
    <x v="346"/>
    <s v="Sahas"/>
    <s v="Sanabhi Shrikant"/>
    <s v="ssanabhi.shrikant3@ted.com"/>
    <x v="0"/>
    <x v="22"/>
    <x v="0"/>
    <x v="68"/>
    <x v="145"/>
    <s v="Yes"/>
  </r>
  <r>
    <x v="347"/>
    <s v="Lalit"/>
    <s v="Kothari"/>
    <s v="lkothari@blogtalkradio.com"/>
    <x v="0"/>
    <x v="42"/>
    <x v="2"/>
    <x v="68"/>
    <x v="177"/>
    <s v="Yes"/>
  </r>
  <r>
    <x v="348"/>
    <s v="Agrata"/>
    <s v="Rajarama"/>
    <s v="arajarama9@360.cn"/>
    <x v="1"/>
    <x v="0"/>
    <x v="1"/>
    <x v="68"/>
    <x v="178"/>
    <s v="Yes"/>
  </r>
  <r>
    <x v="349"/>
    <s v="Amal"/>
    <s v="Nimesh"/>
    <s v="animesh@spotify.com"/>
    <x v="4"/>
    <x v="57"/>
    <x v="2"/>
    <x v="69"/>
    <x v="0"/>
    <s v="No"/>
  </r>
  <r>
    <x v="350"/>
    <s v="Sahas"/>
    <s v="Sanabhi Shrikant"/>
    <s v="ssanabhi.shrikant3@ted.com"/>
    <x v="0"/>
    <x v="41"/>
    <x v="0"/>
    <x v="69"/>
    <x v="149"/>
    <s v="Yes"/>
  </r>
  <r>
    <x v="351"/>
    <s v="Sartaj"/>
    <s v="Probal"/>
    <s v="sprobal@webnode.com"/>
    <x v="13"/>
    <x v="61"/>
    <x v="3"/>
    <x v="69"/>
    <x v="179"/>
    <s v="Yes"/>
  </r>
  <r>
    <x v="352"/>
    <s v="Devrat"/>
    <s v="Damarsingh"/>
    <s v="ddamarsingh@cam.ac.uk"/>
    <x v="1"/>
    <x v="42"/>
    <x v="2"/>
    <x v="69"/>
    <x v="161"/>
    <s v="Yes"/>
  </r>
  <r>
    <x v="353"/>
    <s v="Kaishori"/>
    <s v="Harathi Kateel"/>
    <s v="kharathi.kateel@home.pl"/>
    <x v="4"/>
    <x v="8"/>
    <x v="2"/>
    <x v="70"/>
    <x v="0"/>
    <s v="No"/>
  </r>
  <r>
    <x v="354"/>
    <s v="Shevantilal"/>
    <s v="Muppala"/>
    <s v="smuppala@stumbleupon.com"/>
    <x v="3"/>
    <x v="37"/>
    <x v="0"/>
    <x v="70"/>
    <x v="0"/>
    <s v="No"/>
  </r>
  <r>
    <x v="355"/>
    <s v="Madhumati"/>
    <s v="Gazala Soumitra"/>
    <s v="mgazala.soumitra4@domainmarket.com"/>
    <x v="5"/>
    <x v="17"/>
    <x v="1"/>
    <x v="70"/>
    <x v="160"/>
    <s v="Yes"/>
  </r>
  <r>
    <x v="356"/>
    <s v="Ramnath"/>
    <s v="Ravuri"/>
    <s v="rravuri8@blinklist.com"/>
    <x v="1"/>
    <x v="22"/>
    <x v="2"/>
    <x v="70"/>
    <x v="157"/>
    <s v="Yes"/>
  </r>
  <r>
    <x v="357"/>
    <s v="Krishnakanta"/>
    <s v="Vellanki"/>
    <s v="kvellanki2@netscape.com"/>
    <x v="5"/>
    <x v="17"/>
    <x v="0"/>
    <x v="70"/>
    <x v="104"/>
    <s v="Yes"/>
  </r>
  <r>
    <x v="358"/>
    <s v="Suchira"/>
    <s v="Bhanupriya Tapti"/>
    <s v="sbhanupriya.tapti3@trellian.com"/>
    <x v="5"/>
    <x v="24"/>
    <x v="0"/>
    <x v="70"/>
    <x v="155"/>
    <s v="Yes"/>
  </r>
  <r>
    <x v="359"/>
    <s v="Sarojini"/>
    <s v="Naueshwara"/>
    <s v="snaueshwara@netscape.com"/>
    <x v="3"/>
    <x v="8"/>
    <x v="0"/>
    <x v="71"/>
    <x v="0"/>
    <s v="No"/>
  </r>
  <r>
    <x v="360"/>
    <s v="Abhaya"/>
    <s v="Priyavardhan"/>
    <s v="apriyavardhan9@netvibes.com"/>
    <x v="5"/>
    <x v="19"/>
    <x v="2"/>
    <x v="71"/>
    <x v="78"/>
    <s v="Yes"/>
  </r>
  <r>
    <x v="361"/>
    <s v="Kevalkumar"/>
    <s v="Solanki"/>
    <s v="ksolanki5@who.int"/>
    <x v="2"/>
    <x v="3"/>
    <x v="2"/>
    <x v="71"/>
    <x v="180"/>
    <s v="Yes"/>
  </r>
  <r>
    <x v="362"/>
    <s v="Suman"/>
    <s v="Katte"/>
    <s v="skatte@flavors.me"/>
    <x v="2"/>
    <x v="47"/>
    <x v="2"/>
    <x v="71"/>
    <x v="5"/>
    <s v="Yes"/>
  </r>
  <r>
    <x v="363"/>
    <s v="Dinanath"/>
    <s v="Simhambhatla"/>
    <s v="dsimhambhatla@amazon.co.jp"/>
    <x v="13"/>
    <x v="33"/>
    <x v="2"/>
    <x v="72"/>
    <x v="0"/>
    <s v="No"/>
  </r>
  <r>
    <x v="364"/>
    <s v="Asija"/>
    <s v="Pothireddy"/>
    <s v="apothireddy@psu.edu"/>
    <x v="4"/>
    <x v="19"/>
    <x v="0"/>
    <x v="72"/>
    <x v="0"/>
    <s v="No"/>
  </r>
  <r>
    <x v="365"/>
    <s v="Rameshwari"/>
    <s v="Chikodi"/>
    <s v="rchikodi6@histats.com"/>
    <x v="7"/>
    <x v="55"/>
    <x v="0"/>
    <x v="72"/>
    <x v="138"/>
    <s v="Yes"/>
  </r>
  <r>
    <x v="366"/>
    <s v="Hridaynath"/>
    <s v="Tendulkar"/>
    <s v="htendulkar9@php.net"/>
    <x v="3"/>
    <x v="24"/>
    <x v="2"/>
    <x v="72"/>
    <x v="78"/>
    <s v="Yes"/>
  </r>
  <r>
    <x v="367"/>
    <s v="Mahindra"/>
    <s v="Sreedharan"/>
    <s v="msreedharan1@tinypic.com"/>
    <x v="0"/>
    <x v="19"/>
    <x v="0"/>
    <x v="72"/>
    <x v="117"/>
    <s v="Yes"/>
  </r>
  <r>
    <x v="368"/>
    <s v="Gowri"/>
    <s v="Sankar Chakrala"/>
    <s v="gsankar.chakrala@spotify.com"/>
    <x v="0"/>
    <x v="48"/>
    <x v="1"/>
    <x v="72"/>
    <x v="181"/>
    <s v="Yes"/>
  </r>
  <r>
    <x v="369"/>
    <s v="Ranajay"/>
    <s v="Kailashnath Richa"/>
    <s v="rkailashnath.richa8@wisc.edu"/>
    <x v="5"/>
    <x v="3"/>
    <x v="2"/>
    <x v="72"/>
    <x v="182"/>
    <s v="Yes"/>
  </r>
  <r>
    <x v="370"/>
    <s v="Shevantilal"/>
    <s v="Muppala"/>
    <s v="smuppala@stumbleupon.com"/>
    <x v="3"/>
    <x v="45"/>
    <x v="2"/>
    <x v="72"/>
    <x v="25"/>
    <s v="Yes"/>
  </r>
  <r>
    <x v="371"/>
    <s v="Narois"/>
    <s v="Motiwala"/>
    <s v="nmotiwala@oracle.com"/>
    <x v="6"/>
    <x v="15"/>
    <x v="1"/>
    <x v="73"/>
    <x v="183"/>
    <s v="Yes"/>
  </r>
  <r>
    <x v="372"/>
    <s v="Gumwant"/>
    <s v="Veera"/>
    <s v="gveera9@tuttocitta.it"/>
    <x v="4"/>
    <x v="12"/>
    <x v="0"/>
    <x v="73"/>
    <x v="127"/>
    <s v="Yes"/>
  </r>
  <r>
    <x v="373"/>
    <s v="Vinanti"/>
    <s v="Choudhari"/>
    <s v="vchoudhari6@businessinsider.com"/>
    <x v="2"/>
    <x v="31"/>
    <x v="1"/>
    <x v="73"/>
    <x v="184"/>
    <s v="Yes"/>
  </r>
  <r>
    <x v="374"/>
    <s v="Shattesh"/>
    <s v="Utpat"/>
    <s v="sutpat1@github.com"/>
    <x v="9"/>
    <x v="21"/>
    <x v="0"/>
    <x v="73"/>
    <x v="130"/>
    <s v="Yes"/>
  </r>
  <r>
    <x v="375"/>
    <s v="Hridaynath"/>
    <s v="Tendulkar"/>
    <s v="htendulkar9@php.net"/>
    <x v="3"/>
    <x v="57"/>
    <x v="1"/>
    <x v="73"/>
    <x v="8"/>
    <s v="Yes"/>
  </r>
  <r>
    <x v="376"/>
    <s v="Gopal"/>
    <s v="Venkata"/>
    <s v="gvenkata@flavors.me"/>
    <x v="4"/>
    <x v="35"/>
    <x v="2"/>
    <x v="73"/>
    <x v="185"/>
    <s v="Yes"/>
  </r>
  <r>
    <x v="377"/>
    <s v="Hridaynath"/>
    <s v="Tendulkar"/>
    <s v="htendulkar9@php.net"/>
    <x v="3"/>
    <x v="18"/>
    <x v="0"/>
    <x v="73"/>
    <x v="37"/>
    <s v="Yes"/>
  </r>
  <r>
    <x v="378"/>
    <s v="Sravanthi"/>
    <s v="Chalaki"/>
    <s v="schalaki@artisteer.com"/>
    <x v="2"/>
    <x v="31"/>
    <x v="2"/>
    <x v="74"/>
    <x v="0"/>
    <s v="No"/>
  </r>
  <r>
    <x v="379"/>
    <s v="Amlankusum"/>
    <s v="Rajabhushan"/>
    <s v="arajabhushan@yandex.ru"/>
    <x v="4"/>
    <x v="9"/>
    <x v="1"/>
    <x v="74"/>
    <x v="12"/>
    <s v="Yes"/>
  </r>
  <r>
    <x v="380"/>
    <s v="Sravanthi"/>
    <s v="Chalaki"/>
    <s v="schalaki@artisteer.com"/>
    <x v="2"/>
    <x v="0"/>
    <x v="2"/>
    <x v="74"/>
    <x v="48"/>
    <s v="Yes"/>
  </r>
  <r>
    <x v="381"/>
    <s v="Vanmala"/>
    <s v="Shriharsha"/>
    <s v="vshriharsha@infoseek.co.jp"/>
    <x v="9"/>
    <x v="31"/>
    <x v="3"/>
    <x v="74"/>
    <x v="186"/>
    <s v="Yes"/>
  </r>
  <r>
    <x v="382"/>
    <s v="Shevantilal"/>
    <s v="Muppala"/>
    <s v="smuppala@stumbleupon.com"/>
    <x v="3"/>
    <x v="31"/>
    <x v="2"/>
    <x v="75"/>
    <x v="0"/>
    <s v="No"/>
  </r>
  <r>
    <x v="383"/>
    <s v="Pragya"/>
    <s v="Nilufar"/>
    <s v="pnilufar4@comsenz.com"/>
    <x v="4"/>
    <x v="34"/>
    <x v="1"/>
    <x v="75"/>
    <x v="65"/>
    <s v="Yes"/>
  </r>
  <r>
    <x v="384"/>
    <s v="Subbarao"/>
    <s v="Malladi"/>
    <s v="smalladi@gmpg.org"/>
    <x v="3"/>
    <x v="54"/>
    <x v="0"/>
    <x v="75"/>
    <x v="162"/>
    <s v="Yes"/>
  </r>
  <r>
    <x v="385"/>
    <s v="Venkat"/>
    <s v="Kodi"/>
    <s v="vkodi4@reference.com"/>
    <x v="13"/>
    <x v="33"/>
    <x v="1"/>
    <x v="75"/>
    <x v="187"/>
    <s v="Yes"/>
  </r>
  <r>
    <x v="386"/>
    <s v="Sahas"/>
    <s v="Sanabhi Shrikant"/>
    <s v="ssanabhi.shrikant3@ted.com"/>
    <x v="0"/>
    <x v="18"/>
    <x v="2"/>
    <x v="75"/>
    <x v="103"/>
    <s v="Yes"/>
  </r>
  <r>
    <x v="387"/>
    <s v="Pratigya"/>
    <s v="Rema"/>
    <s v="prema@hubpages.com"/>
    <x v="7"/>
    <x v="25"/>
    <x v="2"/>
    <x v="75"/>
    <x v="164"/>
    <s v="Yes"/>
  </r>
  <r>
    <x v="388"/>
    <s v="Sameer"/>
    <s v="Shashank Sapra"/>
    <s v="sshashank.sapra@oaic.gov.au"/>
    <x v="0"/>
    <x v="48"/>
    <x v="0"/>
    <x v="75"/>
    <x v="39"/>
    <s v="Yes"/>
  </r>
  <r>
    <x v="389"/>
    <s v="Ilesh"/>
    <s v="Dasgupta"/>
    <s v="idasgupta1@yolasite.com"/>
    <x v="9"/>
    <x v="41"/>
    <x v="2"/>
    <x v="75"/>
    <x v="188"/>
    <s v="Yes"/>
  </r>
  <r>
    <x v="390"/>
    <s v="Shattesh"/>
    <s v="Utpat"/>
    <s v="sutpat1@github.com"/>
    <x v="9"/>
    <x v="49"/>
    <x v="0"/>
    <x v="76"/>
    <x v="0"/>
    <s v="No"/>
  </r>
  <r>
    <x v="391"/>
    <s v="Sameer"/>
    <s v="Shashank Sapra"/>
    <s v="sshashank.sapra@oaic.gov.au"/>
    <x v="0"/>
    <x v="36"/>
    <x v="3"/>
    <x v="76"/>
    <x v="189"/>
    <s v="Yes"/>
  </r>
  <r>
    <x v="392"/>
    <s v="Tarala"/>
    <s v="Vishaal"/>
    <s v="tvishaal@mozilla.org"/>
    <x v="1"/>
    <x v="25"/>
    <x v="0"/>
    <x v="77"/>
    <x v="0"/>
    <s v="No"/>
  </r>
  <r>
    <x v="393"/>
    <s v="Sartaj"/>
    <s v="Probal"/>
    <s v="sprobal@webnode.com"/>
    <x v="13"/>
    <x v="14"/>
    <x v="3"/>
    <x v="77"/>
    <x v="34"/>
    <s v="Yes"/>
  </r>
  <r>
    <x v="394"/>
    <s v="Prasanna"/>
    <s v="Lakshmi Payasam"/>
    <s v="plakshmi.payasam2@apache.org"/>
    <x v="3"/>
    <x v="7"/>
    <x v="2"/>
    <x v="77"/>
    <x v="7"/>
    <s v="Yes"/>
  </r>
  <r>
    <x v="395"/>
    <s v="Nazeer"/>
    <s v="Basha Mustafa"/>
    <s v="nbasha.mustafa@prweb.com"/>
    <x v="0"/>
    <x v="54"/>
    <x v="0"/>
    <x v="78"/>
    <x v="0"/>
    <s v="No"/>
  </r>
  <r>
    <x v="396"/>
    <s v="Anumati"/>
    <s v="Shyamari Meherhomji"/>
    <s v="ashyamari.meherhomji@apple.com"/>
    <x v="0"/>
    <x v="31"/>
    <x v="1"/>
    <x v="78"/>
    <x v="0"/>
    <s v="No"/>
  </r>
  <r>
    <x v="397"/>
    <s v="Rushil"/>
    <s v="Kripa"/>
    <s v="rkripa1@narod.ru"/>
    <x v="8"/>
    <x v="3"/>
    <x v="0"/>
    <x v="78"/>
    <x v="64"/>
    <s v="Yes"/>
  </r>
  <r>
    <x v="398"/>
    <s v="Sahas"/>
    <s v="Sanabhi Shrikant"/>
    <s v="ssanabhi.shrikant3@ted.com"/>
    <x v="0"/>
    <x v="2"/>
    <x v="3"/>
    <x v="78"/>
    <x v="34"/>
    <s v="Yes"/>
  </r>
  <r>
    <x v="399"/>
    <s v="Subbarao"/>
    <s v="Malladi"/>
    <s v="smalladi@gmpg.org"/>
    <x v="3"/>
    <x v="49"/>
    <x v="1"/>
    <x v="78"/>
    <x v="156"/>
    <s v="Yes"/>
  </r>
  <r>
    <x v="400"/>
    <s v="Deepit"/>
    <s v="Ranjana"/>
    <s v="dranjana@360.cn"/>
    <x v="8"/>
    <x v="3"/>
    <x v="1"/>
    <x v="79"/>
    <x v="0"/>
    <s v="No"/>
  </r>
  <r>
    <x v="401"/>
    <s v="Gumwant"/>
    <s v="Veera"/>
    <s v="gveera9@tuttocitta.it"/>
    <x v="4"/>
    <x v="24"/>
    <x v="2"/>
    <x v="79"/>
    <x v="0"/>
    <s v="No"/>
  </r>
  <r>
    <x v="402"/>
    <s v="Ponnan"/>
    <s v="Delhi"/>
    <s v="pdelhi@yale.edu"/>
    <x v="1"/>
    <x v="56"/>
    <x v="1"/>
    <x v="79"/>
    <x v="76"/>
    <s v="Yes"/>
  </r>
  <r>
    <x v="403"/>
    <s v="Kunja"/>
    <s v="Prashanta Vibha"/>
    <s v="kprashanta.vibha6@samsung.com"/>
    <x v="0"/>
    <x v="57"/>
    <x v="0"/>
    <x v="80"/>
    <x v="190"/>
    <s v="Yes"/>
  </r>
  <r>
    <x v="404"/>
    <s v="Ranajay"/>
    <s v="Kailashnath Richa"/>
    <s v="rkailashnath.richa8@wisc.edu"/>
    <x v="5"/>
    <x v="44"/>
    <x v="0"/>
    <x v="80"/>
    <x v="186"/>
    <s v="Yes"/>
  </r>
  <r>
    <x v="405"/>
    <s v="Sameer"/>
    <s v="Shashank Sapra"/>
    <s v="sshashank.sapra@oaic.gov.au"/>
    <x v="0"/>
    <x v="33"/>
    <x v="2"/>
    <x v="81"/>
    <x v="0"/>
    <s v="No"/>
  </r>
  <r>
    <x v="406"/>
    <s v="Amlankusum"/>
    <s v="Rajabhushan"/>
    <s v="arajabhushan@yandex.ru"/>
    <x v="4"/>
    <x v="52"/>
    <x v="0"/>
    <x v="81"/>
    <x v="191"/>
    <s v="Yes"/>
  </r>
  <r>
    <x v="407"/>
    <s v="Hemavati"/>
    <s v="Muthiah"/>
    <s v="hmuthiah@theatlantic.com"/>
    <x v="2"/>
    <x v="23"/>
    <x v="0"/>
    <x v="81"/>
    <x v="75"/>
    <s v="Yes"/>
  </r>
  <r>
    <x v="408"/>
    <s v="Mahindra"/>
    <s v="Sreedharan"/>
    <s v="msreedharan1@tinypic.com"/>
    <x v="0"/>
    <x v="38"/>
    <x v="2"/>
    <x v="81"/>
    <x v="192"/>
    <s v="Yes"/>
  </r>
  <r>
    <x v="409"/>
    <s v="Rameshwari"/>
    <s v="Chikodi"/>
    <s v="rchikodi6@histats.com"/>
    <x v="7"/>
    <x v="22"/>
    <x v="1"/>
    <x v="81"/>
    <x v="39"/>
    <s v="Yes"/>
  </r>
  <r>
    <x v="410"/>
    <s v="Venkat"/>
    <s v="Kodi"/>
    <s v="vkodi4@reference.com"/>
    <x v="13"/>
    <x v="51"/>
    <x v="0"/>
    <x v="81"/>
    <x v="82"/>
    <s v="Yes"/>
  </r>
  <r>
    <x v="411"/>
    <s v="Kulbhushan"/>
    <s v="Moorthy"/>
    <s v="kmoorthy6@cmu.edu"/>
    <x v="8"/>
    <x v="42"/>
    <x v="0"/>
    <x v="82"/>
    <x v="193"/>
    <s v="Yes"/>
  </r>
  <r>
    <x v="412"/>
    <s v="Krittika"/>
    <s v="Gaekwad"/>
    <s v="kgaekwad@mit.edu"/>
    <x v="2"/>
    <x v="34"/>
    <x v="0"/>
    <x v="82"/>
    <x v="194"/>
    <s v="Yes"/>
  </r>
  <r>
    <x v="413"/>
    <s v="Piyali"/>
    <s v="Mahanthapa"/>
    <s v="pmahanthapa9@senate.gov"/>
    <x v="1"/>
    <x v="18"/>
    <x v="1"/>
    <x v="82"/>
    <x v="193"/>
    <s v="Yes"/>
  </r>
  <r>
    <x v="414"/>
    <s v="Kantimoy"/>
    <s v="Pritish"/>
    <s v="kpritish5@jigsy.com"/>
    <x v="12"/>
    <x v="52"/>
    <x v="0"/>
    <x v="82"/>
    <x v="23"/>
    <s v="Yes"/>
  </r>
  <r>
    <x v="415"/>
    <s v="Shulabh"/>
    <s v="Qutub Sundaramoorthy"/>
    <s v="squtub.sundaramoorthy@wikispaces.com"/>
    <x v="2"/>
    <x v="3"/>
    <x v="2"/>
    <x v="82"/>
    <x v="42"/>
    <s v="Yes"/>
  </r>
  <r>
    <x v="416"/>
    <s v="Rupak"/>
    <s v="Mehra"/>
    <s v="rmehra@1und1.de"/>
    <x v="3"/>
    <x v="19"/>
    <x v="0"/>
    <x v="83"/>
    <x v="0"/>
    <s v="No"/>
  </r>
  <r>
    <x v="417"/>
    <s v="Amal"/>
    <s v="Nimesh"/>
    <s v="animesh@spotify.com"/>
    <x v="4"/>
    <x v="61"/>
    <x v="0"/>
    <x v="83"/>
    <x v="123"/>
    <s v="Yes"/>
  </r>
  <r>
    <x v="418"/>
    <s v="Amal"/>
    <s v="Nimesh"/>
    <s v="animesh@spotify.com"/>
    <x v="4"/>
    <x v="6"/>
    <x v="2"/>
    <x v="83"/>
    <x v="195"/>
    <s v="Yes"/>
  </r>
  <r>
    <x v="419"/>
    <s v="Prasanna"/>
    <s v="Lakshmi Payasam"/>
    <s v="plakshmi.payasam2@apache.org"/>
    <x v="3"/>
    <x v="37"/>
    <x v="0"/>
    <x v="83"/>
    <x v="77"/>
    <s v="Yes"/>
  </r>
  <r>
    <x v="420"/>
    <s v="Asija"/>
    <s v="Pothireddy"/>
    <s v="apothireddy@psu.edu"/>
    <x v="4"/>
    <x v="3"/>
    <x v="3"/>
    <x v="83"/>
    <x v="196"/>
    <s v="Yes"/>
  </r>
  <r>
    <x v="421"/>
    <s v="Ponnan"/>
    <s v="Delhi"/>
    <s v="pdelhi@yale.edu"/>
    <x v="1"/>
    <x v="31"/>
    <x v="1"/>
    <x v="84"/>
    <x v="197"/>
    <s v="Yes"/>
  </r>
  <r>
    <x v="422"/>
    <s v="Vasu"/>
    <s v="Nandin"/>
    <s v="vnandin@zimbio.com"/>
    <x v="0"/>
    <x v="57"/>
    <x v="1"/>
    <x v="85"/>
    <x v="0"/>
    <s v="No"/>
  </r>
  <r>
    <x v="423"/>
    <s v="Lalit"/>
    <s v="Kothari"/>
    <s v="lkothari@blogtalkradio.com"/>
    <x v="0"/>
    <x v="19"/>
    <x v="0"/>
    <x v="85"/>
    <x v="147"/>
    <s v="Yes"/>
  </r>
  <r>
    <x v="424"/>
    <s v="Shulabh"/>
    <s v="Qutub Sundaramoorthy"/>
    <s v="squtub.sundaramoorthy@wikispaces.com"/>
    <x v="2"/>
    <x v="18"/>
    <x v="2"/>
    <x v="85"/>
    <x v="103"/>
    <s v="Yes"/>
  </r>
  <r>
    <x v="425"/>
    <s v="Anumati"/>
    <s v="Shyamari Meherhomji"/>
    <s v="ashyamari.meherhomji@apple.com"/>
    <x v="0"/>
    <x v="54"/>
    <x v="0"/>
    <x v="85"/>
    <x v="101"/>
    <s v="Yes"/>
  </r>
  <r>
    <x v="426"/>
    <s v="Dinanath"/>
    <s v="Simhambhatla"/>
    <s v="dsimhambhatla@amazon.co.jp"/>
    <x v="13"/>
    <x v="3"/>
    <x v="1"/>
    <x v="85"/>
    <x v="198"/>
    <s v="Yes"/>
  </r>
  <r>
    <x v="427"/>
    <s v="Indu"/>
    <s v="Varada Sumedh"/>
    <s v="ivarada.sumedh@stumbleupon.com"/>
    <x v="1"/>
    <x v="7"/>
    <x v="0"/>
    <x v="85"/>
    <x v="91"/>
    <s v="Yes"/>
  </r>
  <r>
    <x v="428"/>
    <s v="Kevalkumar"/>
    <s v="Solanki"/>
    <s v="ksolanki5@who.int"/>
    <x v="2"/>
    <x v="41"/>
    <x v="0"/>
    <x v="86"/>
    <x v="0"/>
    <s v="No"/>
  </r>
  <r>
    <x v="429"/>
    <s v="Duran"/>
    <s v="Appala"/>
    <s v="dappala@elegantthemes.com"/>
    <x v="3"/>
    <x v="59"/>
    <x v="0"/>
    <x v="86"/>
    <x v="0"/>
    <s v="No"/>
  </r>
  <r>
    <x v="430"/>
    <s v="Lalit"/>
    <s v="Kothari"/>
    <s v="lkothari@blogtalkradio.com"/>
    <x v="0"/>
    <x v="38"/>
    <x v="1"/>
    <x v="86"/>
    <x v="0"/>
    <s v="No"/>
  </r>
  <r>
    <x v="431"/>
    <s v="Ayog"/>
    <s v="Chakrabarti"/>
    <s v="achakrabarti@elegantthemes.com"/>
    <x v="5"/>
    <x v="42"/>
    <x v="2"/>
    <x v="86"/>
    <x v="129"/>
    <s v="Yes"/>
  </r>
  <r>
    <x v="432"/>
    <s v="Amal"/>
    <s v="Nimesh"/>
    <s v="animesh@spotify.com"/>
    <x v="4"/>
    <x v="9"/>
    <x v="2"/>
    <x v="86"/>
    <x v="191"/>
    <s v="Yes"/>
  </r>
  <r>
    <x v="433"/>
    <s v="Sarayu"/>
    <s v="Ragunathan"/>
    <s v="sragunathan2@nhs.uk"/>
    <x v="3"/>
    <x v="45"/>
    <x v="2"/>
    <x v="86"/>
    <x v="77"/>
    <s v="Yes"/>
  </r>
  <r>
    <x v="434"/>
    <s v="Shattesh"/>
    <s v="Utpat"/>
    <s v="sutpat1@github.com"/>
    <x v="9"/>
    <x v="11"/>
    <x v="0"/>
    <x v="86"/>
    <x v="72"/>
    <s v="Yes"/>
  </r>
  <r>
    <x v="435"/>
    <s v="Venkat"/>
    <s v="Kodi"/>
    <s v="vkodi4@reference.com"/>
    <x v="13"/>
    <x v="4"/>
    <x v="1"/>
    <x v="86"/>
    <x v="199"/>
    <s v="Yes"/>
  </r>
  <r>
    <x v="436"/>
    <s v="Jaishree"/>
    <s v="Atasi Yavatkar"/>
    <s v="jatasi.yavatkar7@theglobeandmail.com"/>
    <x v="2"/>
    <x v="39"/>
    <x v="2"/>
    <x v="87"/>
    <x v="0"/>
    <s v="No"/>
  </r>
  <r>
    <x v="437"/>
    <s v="Sahas"/>
    <s v="Sanabhi Shrikant"/>
    <s v="ssanabhi.shrikant3@ted.com"/>
    <x v="0"/>
    <x v="51"/>
    <x v="0"/>
    <x v="87"/>
    <x v="0"/>
    <s v="No"/>
  </r>
  <r>
    <x v="438"/>
    <s v="Pragya"/>
    <s v="Nilufar"/>
    <s v="pnilufar4@comsenz.com"/>
    <x v="4"/>
    <x v="54"/>
    <x v="0"/>
    <x v="87"/>
    <x v="200"/>
    <s v="Yes"/>
  </r>
  <r>
    <x v="439"/>
    <s v="Amal"/>
    <s v="Nimesh"/>
    <s v="animesh@spotify.com"/>
    <x v="4"/>
    <x v="24"/>
    <x v="0"/>
    <x v="87"/>
    <x v="201"/>
    <s v="Yes"/>
  </r>
  <r>
    <x v="440"/>
    <s v="Shevantilal"/>
    <s v="Muppala"/>
    <s v="smuppala@stumbleupon.com"/>
    <x v="3"/>
    <x v="24"/>
    <x v="2"/>
    <x v="87"/>
    <x v="16"/>
    <s v="Yes"/>
  </r>
  <r>
    <x v="441"/>
    <s v="Ilesh"/>
    <s v="Dasgupta"/>
    <s v="idasgupta1@yolasite.com"/>
    <x v="9"/>
    <x v="10"/>
    <x v="0"/>
    <x v="87"/>
    <x v="120"/>
    <s v="Yes"/>
  </r>
  <r>
    <x v="442"/>
    <s v="Kantimoy"/>
    <s v="Pritish"/>
    <s v="kpritish5@jigsy.com"/>
    <x v="12"/>
    <x v="31"/>
    <x v="3"/>
    <x v="87"/>
    <x v="86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BF8F3-4ECD-4B03-A828-C27F5F647C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471" firstHeaderRow="1" firstDataRow="1" firstDataCol="2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3">
        <item x="54"/>
        <item x="42"/>
        <item x="19"/>
        <item x="41"/>
        <item x="15"/>
        <item x="25"/>
        <item x="30"/>
        <item x="4"/>
        <item x="16"/>
        <item x="39"/>
        <item x="48"/>
        <item x="57"/>
        <item x="60"/>
        <item x="13"/>
        <item x="56"/>
        <item x="38"/>
        <item x="5"/>
        <item x="61"/>
        <item x="21"/>
        <item x="43"/>
        <item x="52"/>
        <item x="26"/>
        <item x="33"/>
        <item x="0"/>
        <item x="31"/>
        <item x="9"/>
        <item x="37"/>
        <item x="22"/>
        <item x="6"/>
        <item x="2"/>
        <item x="1"/>
        <item x="47"/>
        <item x="28"/>
        <item x="58"/>
        <item x="14"/>
        <item x="55"/>
        <item x="34"/>
        <item x="51"/>
        <item x="44"/>
        <item x="23"/>
        <item x="24"/>
        <item x="7"/>
        <item x="35"/>
        <item x="8"/>
        <item x="45"/>
        <item x="10"/>
        <item x="46"/>
        <item x="50"/>
        <item x="27"/>
        <item x="49"/>
        <item x="40"/>
        <item x="11"/>
        <item x="53"/>
        <item x="20"/>
        <item x="32"/>
        <item x="18"/>
        <item x="29"/>
        <item x="36"/>
        <item x="3"/>
        <item x="59"/>
        <item x="12"/>
        <item x="17"/>
        <item t="default"/>
      </items>
    </pivotField>
    <pivotField compact="0" outline="0" showAll="0"/>
    <pivotField axis="axisRow" compact="0" numFmtId="15" outline="0" showAll="0">
      <items count="89">
        <item sd="0" x="0"/>
        <item sd="0"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axis="axisRow" dataField="1" compact="0" outline="0" showAll="0">
      <items count="203">
        <item x="137"/>
        <item x="193"/>
        <item x="130"/>
        <item x="31"/>
        <item x="44"/>
        <item x="89"/>
        <item x="17"/>
        <item x="142"/>
        <item x="23"/>
        <item x="129"/>
        <item x="70"/>
        <item x="128"/>
        <item x="16"/>
        <item x="103"/>
        <item x="29"/>
        <item x="19"/>
        <item x="148"/>
        <item x="97"/>
        <item x="104"/>
        <item x="168"/>
        <item x="73"/>
        <item x="157"/>
        <item x="178"/>
        <item x="165"/>
        <item x="36"/>
        <item x="81"/>
        <item x="48"/>
        <item x="199"/>
        <item x="39"/>
        <item x="102"/>
        <item x="37"/>
        <item x="175"/>
        <item x="108"/>
        <item x="153"/>
        <item x="87"/>
        <item x="169"/>
        <item x="184"/>
        <item x="105"/>
        <item x="186"/>
        <item x="15"/>
        <item x="149"/>
        <item x="174"/>
        <item x="20"/>
        <item x="96"/>
        <item x="98"/>
        <item x="197"/>
        <item x="91"/>
        <item x="76"/>
        <item x="143"/>
        <item x="179"/>
        <item x="171"/>
        <item x="120"/>
        <item x="34"/>
        <item x="77"/>
        <item x="101"/>
        <item x="173"/>
        <item x="22"/>
        <item x="7"/>
        <item x="82"/>
        <item x="100"/>
        <item x="55"/>
        <item x="75"/>
        <item x="156"/>
        <item x="57"/>
        <item x="71"/>
        <item x="8"/>
        <item x="35"/>
        <item x="28"/>
        <item x="5"/>
        <item x="152"/>
        <item x="200"/>
        <item x="54"/>
        <item x="72"/>
        <item x="136"/>
        <item x="170"/>
        <item x="68"/>
        <item x="6"/>
        <item x="160"/>
        <item x="46"/>
        <item x="65"/>
        <item x="138"/>
        <item x="4"/>
        <item x="119"/>
        <item x="40"/>
        <item x="111"/>
        <item x="47"/>
        <item x="42"/>
        <item x="125"/>
        <item x="9"/>
        <item x="145"/>
        <item x="132"/>
        <item x="53"/>
        <item x="188"/>
        <item x="140"/>
        <item x="64"/>
        <item x="146"/>
        <item x="126"/>
        <item x="94"/>
        <item x="25"/>
        <item x="85"/>
        <item x="116"/>
        <item x="162"/>
        <item x="135"/>
        <item x="155"/>
        <item x="63"/>
        <item x="172"/>
        <item x="147"/>
        <item x="49"/>
        <item x="88"/>
        <item x="12"/>
        <item x="107"/>
        <item x="78"/>
        <item x="51"/>
        <item x="127"/>
        <item x="182"/>
        <item x="163"/>
        <item x="114"/>
        <item x="150"/>
        <item x="61"/>
        <item x="18"/>
        <item x="151"/>
        <item x="161"/>
        <item x="3"/>
        <item x="14"/>
        <item x="52"/>
        <item x="121"/>
        <item x="189"/>
        <item x="164"/>
        <item x="59"/>
        <item x="32"/>
        <item x="10"/>
        <item x="141"/>
        <item x="33"/>
        <item x="1"/>
        <item x="192"/>
        <item x="26"/>
        <item x="131"/>
        <item x="195"/>
        <item x="176"/>
        <item x="117"/>
        <item x="191"/>
        <item x="11"/>
        <item x="2"/>
        <item x="30"/>
        <item x="38"/>
        <item x="198"/>
        <item x="83"/>
        <item x="112"/>
        <item x="124"/>
        <item x="196"/>
        <item x="177"/>
        <item x="66"/>
        <item x="41"/>
        <item x="60"/>
        <item x="158"/>
        <item x="183"/>
        <item x="90"/>
        <item x="86"/>
        <item x="181"/>
        <item x="166"/>
        <item x="109"/>
        <item x="154"/>
        <item x="106"/>
        <item x="13"/>
        <item x="56"/>
        <item x="187"/>
        <item x="58"/>
        <item x="84"/>
        <item x="43"/>
        <item x="110"/>
        <item x="93"/>
        <item x="21"/>
        <item x="190"/>
        <item x="79"/>
        <item x="62"/>
        <item x="118"/>
        <item x="92"/>
        <item x="74"/>
        <item x="180"/>
        <item x="50"/>
        <item x="167"/>
        <item x="113"/>
        <item x="123"/>
        <item x="139"/>
        <item x="144"/>
        <item x="99"/>
        <item x="194"/>
        <item x="24"/>
        <item x="185"/>
        <item x="45"/>
        <item x="69"/>
        <item x="159"/>
        <item x="133"/>
        <item x="80"/>
        <item x="27"/>
        <item x="115"/>
        <item x="201"/>
        <item x="134"/>
        <item x="67"/>
        <item x="95"/>
        <item x="122"/>
        <item x="0"/>
        <item t="default"/>
      </items>
    </pivotField>
    <pivotField compact="0" outline="0" showAll="0"/>
  </pivotFields>
  <rowFields count="2">
    <field x="7"/>
    <field x="8"/>
  </rowFields>
  <rowItems count="468">
    <i>
      <x/>
    </i>
    <i>
      <x v="1"/>
    </i>
    <i>
      <x v="2"/>
    </i>
    <i>
      <x v="3"/>
      <x v="6"/>
    </i>
    <i r="1">
      <x v="12"/>
    </i>
    <i r="1">
      <x v="39"/>
    </i>
    <i r="1">
      <x v="109"/>
    </i>
    <i r="1">
      <x v="119"/>
    </i>
    <i r="1">
      <x v="123"/>
    </i>
    <i r="1">
      <x v="163"/>
    </i>
    <i r="1">
      <x v="201"/>
    </i>
    <i t="default">
      <x v="3"/>
    </i>
    <i>
      <x v="4"/>
      <x v="15"/>
    </i>
    <i r="1">
      <x v="42"/>
    </i>
    <i r="1">
      <x v="201"/>
    </i>
    <i t="default">
      <x v="4"/>
    </i>
    <i>
      <x v="5"/>
      <x v="8"/>
    </i>
    <i r="1">
      <x v="56"/>
    </i>
    <i r="1">
      <x v="57"/>
    </i>
    <i r="1">
      <x v="98"/>
    </i>
    <i r="1">
      <x v="135"/>
    </i>
    <i r="1">
      <x v="171"/>
    </i>
    <i r="1">
      <x v="187"/>
    </i>
    <i r="1">
      <x v="194"/>
    </i>
    <i r="1">
      <x v="201"/>
    </i>
    <i t="default">
      <x v="5"/>
    </i>
    <i>
      <x v="6"/>
      <x v="6"/>
    </i>
    <i r="1">
      <x v="14"/>
    </i>
    <i r="1">
      <x v="67"/>
    </i>
    <i r="1">
      <x v="133"/>
    </i>
    <i r="1">
      <x v="143"/>
    </i>
    <i r="1">
      <x v="201"/>
    </i>
    <i t="default">
      <x v="6"/>
    </i>
    <i>
      <x v="7"/>
      <x v="3"/>
    </i>
    <i r="1">
      <x v="52"/>
    </i>
    <i r="1">
      <x v="66"/>
    </i>
    <i r="1">
      <x v="129"/>
    </i>
    <i r="1">
      <x v="132"/>
    </i>
    <i r="1">
      <x v="201"/>
    </i>
    <i t="default">
      <x v="7"/>
    </i>
    <i>
      <x v="8"/>
      <x v="24"/>
    </i>
    <i t="default">
      <x v="8"/>
    </i>
    <i>
      <x v="9"/>
      <x v="30"/>
    </i>
    <i r="1">
      <x v="144"/>
    </i>
    <i r="1">
      <x v="201"/>
    </i>
    <i t="default">
      <x v="9"/>
    </i>
    <i>
      <x v="10"/>
      <x v="4"/>
    </i>
    <i r="1">
      <x v="28"/>
    </i>
    <i r="1">
      <x v="83"/>
    </i>
    <i r="1">
      <x v="86"/>
    </i>
    <i r="1">
      <x v="152"/>
    </i>
    <i r="1">
      <x v="168"/>
    </i>
    <i r="1">
      <x v="189"/>
    </i>
    <i r="1">
      <x v="201"/>
    </i>
    <i t="default">
      <x v="10"/>
    </i>
    <i>
      <x v="11"/>
      <x v="3"/>
    </i>
    <i r="1">
      <x v="8"/>
    </i>
    <i r="1">
      <x v="78"/>
    </i>
    <i r="1">
      <x v="85"/>
    </i>
    <i t="default">
      <x v="11"/>
    </i>
    <i>
      <x v="12"/>
      <x v="26"/>
    </i>
    <i r="1">
      <x v="135"/>
    </i>
    <i r="1">
      <x v="144"/>
    </i>
    <i r="1">
      <x v="201"/>
    </i>
    <i t="default">
      <x v="12"/>
    </i>
    <i>
      <x v="13"/>
      <x v="91"/>
    </i>
    <i r="1">
      <x v="107"/>
    </i>
    <i r="1">
      <x v="112"/>
    </i>
    <i r="1">
      <x v="124"/>
    </i>
    <i r="1">
      <x v="179"/>
    </i>
    <i r="1">
      <x v="201"/>
    </i>
    <i t="default">
      <x v="13"/>
    </i>
    <i>
      <x v="14"/>
      <x v="60"/>
    </i>
    <i r="1">
      <x v="63"/>
    </i>
    <i r="1">
      <x v="71"/>
    </i>
    <i r="1">
      <x v="128"/>
    </i>
    <i r="1">
      <x v="164"/>
    </i>
    <i r="1">
      <x v="166"/>
    </i>
    <i r="1">
      <x v="201"/>
    </i>
    <i t="default">
      <x v="14"/>
    </i>
    <i>
      <x v="15"/>
      <x v="118"/>
    </i>
    <i r="1">
      <x v="153"/>
    </i>
    <i r="1">
      <x v="201"/>
    </i>
    <i t="default">
      <x v="15"/>
    </i>
    <i>
      <x v="16"/>
      <x v="104"/>
    </i>
    <i r="1">
      <x v="143"/>
    </i>
    <i r="1">
      <x v="174"/>
    </i>
    <i t="default">
      <x v="16"/>
    </i>
    <i>
      <x v="17"/>
      <x v="79"/>
    </i>
    <i r="1">
      <x v="94"/>
    </i>
    <i t="default">
      <x v="17"/>
    </i>
    <i>
      <x v="18"/>
      <x v="75"/>
    </i>
    <i r="1">
      <x v="107"/>
    </i>
    <i r="1">
      <x v="151"/>
    </i>
    <i r="1">
      <x v="190"/>
    </i>
    <i r="1">
      <x v="198"/>
    </i>
    <i r="1">
      <x v="201"/>
    </i>
    <i t="default">
      <x v="18"/>
    </i>
    <i>
      <x v="19"/>
      <x v="10"/>
    </i>
    <i r="1">
      <x v="20"/>
    </i>
    <i r="1">
      <x v="47"/>
    </i>
    <i r="1">
      <x v="61"/>
    </i>
    <i r="1">
      <x v="64"/>
    </i>
    <i r="1">
      <x v="72"/>
    </i>
    <i r="1">
      <x v="177"/>
    </i>
    <i r="1">
      <x v="201"/>
    </i>
    <i t="default">
      <x v="19"/>
    </i>
    <i>
      <x v="20"/>
      <x v="53"/>
    </i>
    <i r="1">
      <x v="111"/>
    </i>
    <i r="1">
      <x v="173"/>
    </i>
    <i r="1">
      <x v="193"/>
    </i>
    <i t="default">
      <x v="20"/>
    </i>
    <i>
      <x v="21"/>
      <x v="25"/>
    </i>
    <i r="1">
      <x v="201"/>
    </i>
    <i t="default">
      <x v="21"/>
    </i>
    <i>
      <x v="22"/>
      <x v="58"/>
    </i>
    <i r="1">
      <x v="99"/>
    </i>
    <i r="1">
      <x v="146"/>
    </i>
    <i r="1">
      <x v="167"/>
    </i>
    <i r="1">
      <x v="201"/>
    </i>
    <i t="default">
      <x v="22"/>
    </i>
    <i>
      <x v="23"/>
      <x v="34"/>
    </i>
    <i r="1">
      <x v="157"/>
    </i>
    <i r="1">
      <x v="201"/>
    </i>
    <i t="default">
      <x v="23"/>
    </i>
    <i>
      <x v="24"/>
      <x v="5"/>
    </i>
    <i r="1">
      <x v="34"/>
    </i>
    <i r="1">
      <x v="46"/>
    </i>
    <i r="1">
      <x v="108"/>
    </i>
    <i r="1">
      <x v="112"/>
    </i>
    <i r="1">
      <x v="156"/>
    </i>
    <i r="1">
      <x v="176"/>
    </i>
    <i r="1">
      <x v="201"/>
    </i>
    <i t="default">
      <x v="24"/>
    </i>
    <i>
      <x v="25"/>
      <x v="67"/>
    </i>
    <i r="1">
      <x v="109"/>
    </i>
    <i r="1">
      <x v="201"/>
    </i>
    <i t="default">
      <x v="25"/>
    </i>
    <i>
      <x v="26"/>
      <x v="171"/>
    </i>
    <i r="1">
      <x v="201"/>
    </i>
    <i t="default">
      <x v="26"/>
    </i>
    <i>
      <x v="27"/>
      <x v="17"/>
    </i>
    <i r="1">
      <x v="43"/>
    </i>
    <i r="1">
      <x v="79"/>
    </i>
    <i r="1">
      <x v="97"/>
    </i>
    <i r="1">
      <x v="107"/>
    </i>
    <i r="1">
      <x v="170"/>
    </i>
    <i r="1">
      <x v="199"/>
    </i>
    <i r="1">
      <x v="201"/>
    </i>
    <i t="default">
      <x v="27"/>
    </i>
    <i>
      <x v="28"/>
      <x v="44"/>
    </i>
    <i r="1">
      <x v="54"/>
    </i>
    <i r="1">
      <x v="59"/>
    </i>
    <i r="1">
      <x v="185"/>
    </i>
    <i t="default">
      <x v="28"/>
    </i>
    <i>
      <x v="29"/>
      <x v="29"/>
    </i>
    <i r="1">
      <x v="78"/>
    </i>
    <i r="1">
      <x v="201"/>
    </i>
    <i t="default">
      <x v="29"/>
    </i>
    <i>
      <x v="30"/>
      <x v="13"/>
    </i>
    <i r="1">
      <x v="18"/>
    </i>
    <i r="1">
      <x v="201"/>
    </i>
    <i t="default">
      <x v="30"/>
    </i>
    <i>
      <x v="31"/>
      <x v="26"/>
    </i>
    <i r="1">
      <x v="37"/>
    </i>
    <i r="1">
      <x v="85"/>
    </i>
    <i r="1">
      <x v="110"/>
    </i>
    <i r="1">
      <x v="122"/>
    </i>
    <i r="1">
      <x v="162"/>
    </i>
    <i r="1">
      <x v="201"/>
    </i>
    <i t="default">
      <x v="31"/>
    </i>
    <i>
      <x v="32"/>
      <x v="32"/>
    </i>
    <i r="1">
      <x v="63"/>
    </i>
    <i r="1">
      <x v="201"/>
    </i>
    <i t="default">
      <x v="32"/>
    </i>
    <i>
      <x v="33"/>
      <x v="30"/>
    </i>
    <i r="1">
      <x v="160"/>
    </i>
    <i r="1">
      <x v="169"/>
    </i>
    <i r="1">
      <x v="201"/>
    </i>
    <i t="default">
      <x v="33"/>
    </i>
    <i>
      <x v="34"/>
      <x v="84"/>
    </i>
    <i r="1">
      <x v="174"/>
    </i>
    <i t="default">
      <x v="34"/>
    </i>
    <i>
      <x v="35"/>
      <x v="29"/>
    </i>
    <i r="1">
      <x v="60"/>
    </i>
    <i r="1">
      <x v="100"/>
    </i>
    <i r="1">
      <x v="116"/>
    </i>
    <i r="1">
      <x v="139"/>
    </i>
    <i r="1">
      <x v="147"/>
    </i>
    <i r="1">
      <x v="181"/>
    </i>
    <i r="1">
      <x v="195"/>
    </i>
    <i r="1">
      <x v="201"/>
    </i>
    <i t="default">
      <x v="35"/>
    </i>
    <i>
      <x v="36"/>
      <x v="82"/>
    </i>
    <i r="1">
      <x v="91"/>
    </i>
    <i r="1">
      <x v="175"/>
    </i>
    <i t="default">
      <x v="36"/>
    </i>
    <i>
      <x v="37"/>
      <x v="51"/>
    </i>
    <i r="1">
      <x v="125"/>
    </i>
    <i t="default">
      <x v="37"/>
    </i>
    <i>
      <x v="38"/>
      <x v="64"/>
    </i>
    <i r="1">
      <x v="200"/>
    </i>
    <i r="1">
      <x v="201"/>
    </i>
    <i t="default">
      <x v="38"/>
    </i>
    <i>
      <x v="39"/>
      <x v="59"/>
    </i>
    <i r="1">
      <x v="182"/>
    </i>
    <i t="default">
      <x v="39"/>
    </i>
    <i>
      <x v="40"/>
      <x v="79"/>
    </i>
    <i r="1">
      <x v="87"/>
    </i>
    <i r="1">
      <x v="148"/>
    </i>
    <i r="1">
      <x v="201"/>
    </i>
    <i t="default">
      <x v="40"/>
    </i>
    <i>
      <x v="41"/>
      <x v="20"/>
    </i>
    <i r="1">
      <x v="96"/>
    </i>
    <i r="1">
      <x v="176"/>
    </i>
    <i r="1">
      <x v="201"/>
    </i>
    <i t="default">
      <x v="41"/>
    </i>
    <i>
      <x v="42"/>
      <x v="11"/>
    </i>
    <i r="1">
      <x v="113"/>
    </i>
    <i r="1">
      <x v="201"/>
    </i>
    <i t="default">
      <x v="42"/>
    </i>
    <i>
      <x v="43"/>
      <x v="2"/>
    </i>
    <i r="1">
      <x v="9"/>
    </i>
    <i r="1">
      <x v="14"/>
    </i>
    <i r="1">
      <x v="128"/>
    </i>
    <i r="1">
      <x v="135"/>
    </i>
    <i r="1">
      <x v="136"/>
    </i>
    <i t="default">
      <x v="43"/>
    </i>
    <i>
      <x v="44"/>
      <x v="58"/>
    </i>
    <i t="default">
      <x v="44"/>
    </i>
    <i>
      <x v="45"/>
      <x v="90"/>
    </i>
    <i r="1">
      <x v="136"/>
    </i>
    <i r="1">
      <x v="201"/>
    </i>
    <i t="default">
      <x v="45"/>
    </i>
    <i>
      <x v="46"/>
      <x v="29"/>
    </i>
    <i r="1">
      <x v="52"/>
    </i>
    <i r="1">
      <x v="122"/>
    </i>
    <i r="1">
      <x v="192"/>
    </i>
    <i r="1">
      <x v="201"/>
    </i>
    <i t="default">
      <x v="46"/>
    </i>
    <i>
      <x v="47"/>
      <x v="11"/>
    </i>
    <i r="1">
      <x v="102"/>
    </i>
    <i r="1">
      <x v="197"/>
    </i>
    <i r="1">
      <x v="201"/>
    </i>
    <i t="default">
      <x v="47"/>
    </i>
    <i>
      <x v="48"/>
      <x/>
    </i>
    <i r="1">
      <x v="73"/>
    </i>
    <i r="1">
      <x v="80"/>
    </i>
    <i r="1">
      <x v="183"/>
    </i>
    <i r="1">
      <x v="201"/>
    </i>
    <i t="default">
      <x v="48"/>
    </i>
    <i>
      <x v="49"/>
      <x v="7"/>
    </i>
    <i r="1">
      <x v="66"/>
    </i>
    <i r="1">
      <x v="93"/>
    </i>
    <i r="1">
      <x v="131"/>
    </i>
    <i r="1">
      <x v="132"/>
    </i>
    <i t="default">
      <x v="49"/>
    </i>
    <i>
      <x v="50"/>
      <x v="3"/>
    </i>
    <i r="1">
      <x v="48"/>
    </i>
    <i r="1">
      <x v="125"/>
    </i>
    <i r="1">
      <x v="136"/>
    </i>
    <i r="1">
      <x v="201"/>
    </i>
    <i t="default">
      <x v="50"/>
    </i>
    <i>
      <x v="51"/>
      <x v="201"/>
    </i>
    <i t="default">
      <x v="51"/>
    </i>
    <i>
      <x v="52"/>
      <x v="56"/>
    </i>
    <i r="1">
      <x v="89"/>
    </i>
    <i r="1">
      <x v="184"/>
    </i>
    <i r="1">
      <x v="201"/>
    </i>
    <i t="default">
      <x v="52"/>
    </i>
    <i>
      <x v="53"/>
      <x v="16"/>
    </i>
    <i r="1">
      <x v="40"/>
    </i>
    <i r="1">
      <x v="95"/>
    </i>
    <i r="1">
      <x v="106"/>
    </i>
    <i r="1">
      <x v="201"/>
    </i>
    <i t="default">
      <x v="53"/>
    </i>
    <i>
      <x v="54"/>
      <x v="30"/>
    </i>
    <i r="1">
      <x v="44"/>
    </i>
    <i r="1">
      <x v="69"/>
    </i>
    <i r="1">
      <x v="97"/>
    </i>
    <i r="1">
      <x v="117"/>
    </i>
    <i r="1">
      <x v="120"/>
    </i>
    <i r="1">
      <x v="201"/>
    </i>
    <i t="default">
      <x v="54"/>
    </i>
    <i>
      <x v="55"/>
      <x v="33"/>
    </i>
    <i r="1">
      <x v="95"/>
    </i>
    <i r="1">
      <x v="113"/>
    </i>
    <i r="1">
      <x v="161"/>
    </i>
    <i r="1">
      <x v="201"/>
    </i>
    <i t="default">
      <x v="55"/>
    </i>
    <i>
      <x v="56"/>
      <x v="54"/>
    </i>
    <i r="1">
      <x v="62"/>
    </i>
    <i r="1">
      <x v="88"/>
    </i>
    <i r="1">
      <x v="97"/>
    </i>
    <i r="1">
      <x v="103"/>
    </i>
    <i r="1">
      <x v="113"/>
    </i>
    <i r="1">
      <x v="201"/>
    </i>
    <i t="default">
      <x v="56"/>
    </i>
    <i>
      <x v="57"/>
      <x v="21"/>
    </i>
    <i r="1">
      <x v="53"/>
    </i>
    <i r="1">
      <x v="85"/>
    </i>
    <i r="1">
      <x v="201"/>
    </i>
    <i t="default">
      <x v="57"/>
    </i>
    <i>
      <x v="58"/>
      <x v="60"/>
    </i>
    <i r="1">
      <x v="201"/>
    </i>
    <i t="default">
      <x v="58"/>
    </i>
    <i>
      <x v="59"/>
      <x v="12"/>
    </i>
    <i r="1">
      <x v="77"/>
    </i>
    <i r="1">
      <x v="154"/>
    </i>
    <i r="1">
      <x v="191"/>
    </i>
    <i t="default">
      <x v="59"/>
    </i>
    <i>
      <x v="60"/>
      <x v="5"/>
    </i>
    <i r="1">
      <x v="23"/>
    </i>
    <i r="1">
      <x v="101"/>
    </i>
    <i r="1">
      <x v="115"/>
    </i>
    <i r="1">
      <x v="118"/>
    </i>
    <i r="1">
      <x v="121"/>
    </i>
    <i r="1">
      <x v="127"/>
    </i>
    <i r="1">
      <x v="201"/>
    </i>
    <i t="default">
      <x v="60"/>
    </i>
    <i>
      <x v="61"/>
      <x v="2"/>
    </i>
    <i r="1">
      <x v="16"/>
    </i>
    <i r="1">
      <x v="76"/>
    </i>
    <i r="1">
      <x v="159"/>
    </i>
    <i r="1">
      <x v="201"/>
    </i>
    <i t="default">
      <x v="61"/>
    </i>
    <i>
      <x v="62"/>
      <x v="4"/>
    </i>
    <i r="1">
      <x v="86"/>
    </i>
    <i r="1">
      <x v="180"/>
    </i>
    <i r="1">
      <x v="201"/>
    </i>
    <i t="default">
      <x v="62"/>
    </i>
    <i>
      <x v="63"/>
      <x v="19"/>
    </i>
    <i r="1">
      <x v="35"/>
    </i>
    <i r="1">
      <x v="74"/>
    </i>
    <i r="1">
      <x v="78"/>
    </i>
    <i r="1">
      <x v="173"/>
    </i>
    <i t="default">
      <x v="63"/>
    </i>
    <i>
      <x v="64"/>
      <x v="12"/>
    </i>
    <i r="1">
      <x v="50"/>
    </i>
    <i r="1">
      <x v="105"/>
    </i>
    <i r="1">
      <x v="201"/>
    </i>
    <i t="default">
      <x v="64"/>
    </i>
    <i>
      <x v="65"/>
      <x v="53"/>
    </i>
    <i r="1">
      <x v="111"/>
    </i>
    <i r="1">
      <x v="201"/>
    </i>
    <i t="default">
      <x v="65"/>
    </i>
    <i>
      <x v="66"/>
      <x v="41"/>
    </i>
    <i r="1">
      <x v="55"/>
    </i>
    <i r="1">
      <x v="201"/>
    </i>
    <i t="default">
      <x v="66"/>
    </i>
    <i>
      <x v="67"/>
      <x v="31"/>
    </i>
    <i r="1">
      <x v="109"/>
    </i>
    <i r="1">
      <x v="113"/>
    </i>
    <i r="1">
      <x v="138"/>
    </i>
    <i r="1">
      <x v="173"/>
    </i>
    <i r="1">
      <x v="201"/>
    </i>
    <i t="default">
      <x v="67"/>
    </i>
    <i>
      <x v="68"/>
      <x v="22"/>
    </i>
    <i r="1">
      <x v="89"/>
    </i>
    <i r="1">
      <x v="150"/>
    </i>
    <i r="1">
      <x v="201"/>
    </i>
    <i t="default">
      <x v="68"/>
    </i>
    <i>
      <x v="69"/>
      <x v="40"/>
    </i>
    <i r="1">
      <x v="49"/>
    </i>
    <i r="1">
      <x v="121"/>
    </i>
    <i r="1">
      <x v="201"/>
    </i>
    <i t="default">
      <x v="69"/>
    </i>
    <i>
      <x v="70"/>
      <x v="18"/>
    </i>
    <i r="1">
      <x v="21"/>
    </i>
    <i r="1">
      <x v="77"/>
    </i>
    <i r="1">
      <x v="103"/>
    </i>
    <i r="1">
      <x v="201"/>
    </i>
    <i t="default">
      <x v="70"/>
    </i>
    <i>
      <x v="71"/>
      <x v="68"/>
    </i>
    <i r="1">
      <x v="111"/>
    </i>
    <i r="1">
      <x v="178"/>
    </i>
    <i r="1">
      <x v="201"/>
    </i>
    <i t="default">
      <x v="71"/>
    </i>
    <i>
      <x v="72"/>
      <x v="80"/>
    </i>
    <i r="1">
      <x v="98"/>
    </i>
    <i r="1">
      <x v="111"/>
    </i>
    <i r="1">
      <x v="114"/>
    </i>
    <i r="1">
      <x v="139"/>
    </i>
    <i r="1">
      <x v="158"/>
    </i>
    <i r="1">
      <x v="201"/>
    </i>
    <i t="default">
      <x v="72"/>
    </i>
    <i>
      <x v="73"/>
      <x v="2"/>
    </i>
    <i r="1">
      <x v="30"/>
    </i>
    <i r="1">
      <x v="36"/>
    </i>
    <i r="1">
      <x v="65"/>
    </i>
    <i r="1">
      <x v="113"/>
    </i>
    <i r="1">
      <x v="155"/>
    </i>
    <i r="1">
      <x v="188"/>
    </i>
    <i t="default">
      <x v="73"/>
    </i>
    <i>
      <x v="74"/>
      <x v="26"/>
    </i>
    <i r="1">
      <x v="38"/>
    </i>
    <i r="1">
      <x v="109"/>
    </i>
    <i r="1">
      <x v="201"/>
    </i>
    <i t="default">
      <x v="74"/>
    </i>
    <i>
      <x v="75"/>
      <x v="13"/>
    </i>
    <i r="1">
      <x v="28"/>
    </i>
    <i r="1">
      <x v="79"/>
    </i>
    <i r="1">
      <x v="92"/>
    </i>
    <i r="1">
      <x v="101"/>
    </i>
    <i r="1">
      <x v="127"/>
    </i>
    <i r="1">
      <x v="165"/>
    </i>
    <i r="1">
      <x v="201"/>
    </i>
    <i t="default">
      <x v="75"/>
    </i>
    <i>
      <x v="76"/>
      <x v="126"/>
    </i>
    <i r="1">
      <x v="201"/>
    </i>
    <i t="default">
      <x v="76"/>
    </i>
    <i>
      <x v="77"/>
      <x v="52"/>
    </i>
    <i r="1">
      <x v="57"/>
    </i>
    <i r="1">
      <x v="201"/>
    </i>
    <i t="default">
      <x v="77"/>
    </i>
    <i>
      <x v="78"/>
      <x v="52"/>
    </i>
    <i r="1">
      <x v="62"/>
    </i>
    <i r="1">
      <x v="94"/>
    </i>
    <i r="1">
      <x v="201"/>
    </i>
    <i t="default">
      <x v="78"/>
    </i>
    <i>
      <x v="79"/>
      <x v="47"/>
    </i>
    <i r="1">
      <x v="201"/>
    </i>
    <i t="default">
      <x v="79"/>
    </i>
    <i>
      <x v="80"/>
      <x v="38"/>
    </i>
    <i r="1">
      <x v="172"/>
    </i>
    <i t="default">
      <x v="80"/>
    </i>
    <i>
      <x v="81"/>
      <x v="28"/>
    </i>
    <i r="1">
      <x v="58"/>
    </i>
    <i r="1">
      <x v="61"/>
    </i>
    <i r="1">
      <x v="134"/>
    </i>
    <i r="1">
      <x v="140"/>
    </i>
    <i r="1">
      <x v="201"/>
    </i>
    <i t="default">
      <x v="81"/>
    </i>
    <i>
      <x v="82"/>
      <x v="1"/>
    </i>
    <i r="1">
      <x v="8"/>
    </i>
    <i r="1">
      <x v="86"/>
    </i>
    <i r="1">
      <x v="186"/>
    </i>
    <i t="default">
      <x v="82"/>
    </i>
    <i>
      <x v="83"/>
      <x v="53"/>
    </i>
    <i r="1">
      <x v="137"/>
    </i>
    <i r="1">
      <x v="149"/>
    </i>
    <i r="1">
      <x v="182"/>
    </i>
    <i r="1">
      <x v="201"/>
    </i>
    <i t="default">
      <x v="83"/>
    </i>
    <i>
      <x v="84"/>
      <x v="45"/>
    </i>
    <i t="default">
      <x v="84"/>
    </i>
    <i>
      <x v="85"/>
      <x v="13"/>
    </i>
    <i r="1">
      <x v="46"/>
    </i>
    <i r="1">
      <x v="54"/>
    </i>
    <i r="1">
      <x v="106"/>
    </i>
    <i r="1">
      <x v="145"/>
    </i>
    <i r="1">
      <x v="201"/>
    </i>
    <i t="default">
      <x v="85"/>
    </i>
    <i>
      <x v="86"/>
      <x v="9"/>
    </i>
    <i r="1">
      <x v="27"/>
    </i>
    <i r="1">
      <x v="53"/>
    </i>
    <i r="1">
      <x v="72"/>
    </i>
    <i r="1">
      <x v="140"/>
    </i>
    <i r="1">
      <x v="201"/>
    </i>
    <i t="default">
      <x v="86"/>
    </i>
    <i>
      <x v="87"/>
      <x v="12"/>
    </i>
    <i r="1">
      <x v="51"/>
    </i>
    <i r="1">
      <x v="70"/>
    </i>
    <i r="1">
      <x v="157"/>
    </i>
    <i r="1">
      <x v="196"/>
    </i>
    <i r="1">
      <x v="201"/>
    </i>
    <i t="default">
      <x v="87"/>
    </i>
    <i t="grand">
      <x/>
    </i>
  </rowItems>
  <colItems count="1">
    <i/>
  </colItems>
  <dataFields count="1">
    <dataField name="Sum of Purchase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29EE7-8B62-45A1-8AE0-3F7CE5113B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C6" firstHeaderRow="0" firstDataRow="1" firstDataCol="1"/>
  <pivotFields count="10">
    <pivotField dataField="1" compact="0" outline="0" showAll="0">
      <items count="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3">
        <item x="54"/>
        <item x="42"/>
        <item x="19"/>
        <item x="41"/>
        <item x="15"/>
        <item x="25"/>
        <item x="30"/>
        <item x="4"/>
        <item x="16"/>
        <item x="39"/>
        <item x="48"/>
        <item x="57"/>
        <item x="60"/>
        <item x="13"/>
        <item x="56"/>
        <item x="38"/>
        <item x="5"/>
        <item x="61"/>
        <item x="21"/>
        <item x="43"/>
        <item x="52"/>
        <item x="26"/>
        <item x="33"/>
        <item x="0"/>
        <item x="31"/>
        <item x="9"/>
        <item x="37"/>
        <item x="22"/>
        <item x="6"/>
        <item x="2"/>
        <item x="1"/>
        <item x="47"/>
        <item x="28"/>
        <item x="58"/>
        <item x="14"/>
        <item x="55"/>
        <item x="34"/>
        <item x="51"/>
        <item x="44"/>
        <item x="23"/>
        <item x="24"/>
        <item x="7"/>
        <item x="35"/>
        <item x="8"/>
        <item x="45"/>
        <item x="10"/>
        <item x="46"/>
        <item x="50"/>
        <item x="27"/>
        <item x="49"/>
        <item x="40"/>
        <item x="11"/>
        <item x="53"/>
        <item x="20"/>
        <item x="32"/>
        <item x="18"/>
        <item x="29"/>
        <item x="36"/>
        <item x="3"/>
        <item x="59"/>
        <item x="12"/>
        <item x="17"/>
        <item t="default"/>
      </items>
    </pivotField>
    <pivotField axis="axisRow" compact="0" outline="0" showAll="0" sortType="ascending">
      <items count="5">
        <item sd="0" x="1"/>
        <item sd="0"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>
      <items count="203">
        <item x="137"/>
        <item x="193"/>
        <item x="130"/>
        <item x="31"/>
        <item x="44"/>
        <item x="89"/>
        <item x="17"/>
        <item x="142"/>
        <item x="23"/>
        <item x="129"/>
        <item x="70"/>
        <item x="128"/>
        <item x="16"/>
        <item x="103"/>
        <item x="29"/>
        <item x="19"/>
        <item x="148"/>
        <item x="97"/>
        <item x="104"/>
        <item x="168"/>
        <item x="73"/>
        <item x="157"/>
        <item x="178"/>
        <item x="165"/>
        <item x="36"/>
        <item x="81"/>
        <item x="48"/>
        <item x="199"/>
        <item x="39"/>
        <item x="102"/>
        <item x="37"/>
        <item x="175"/>
        <item x="108"/>
        <item x="153"/>
        <item x="87"/>
        <item x="169"/>
        <item x="184"/>
        <item x="105"/>
        <item x="186"/>
        <item x="15"/>
        <item x="149"/>
        <item x="174"/>
        <item x="20"/>
        <item x="96"/>
        <item x="98"/>
        <item x="197"/>
        <item x="91"/>
        <item x="76"/>
        <item x="143"/>
        <item x="179"/>
        <item x="171"/>
        <item x="120"/>
        <item x="34"/>
        <item x="77"/>
        <item x="101"/>
        <item x="173"/>
        <item x="22"/>
        <item x="7"/>
        <item x="82"/>
        <item x="100"/>
        <item x="55"/>
        <item x="75"/>
        <item x="156"/>
        <item x="57"/>
        <item x="71"/>
        <item x="8"/>
        <item x="35"/>
        <item x="28"/>
        <item x="5"/>
        <item x="152"/>
        <item x="200"/>
        <item x="54"/>
        <item x="72"/>
        <item x="136"/>
        <item x="170"/>
        <item x="68"/>
        <item x="6"/>
        <item x="160"/>
        <item x="46"/>
        <item x="65"/>
        <item x="138"/>
        <item x="4"/>
        <item x="119"/>
        <item x="40"/>
        <item x="111"/>
        <item x="47"/>
        <item x="42"/>
        <item x="125"/>
        <item x="9"/>
        <item x="145"/>
        <item x="132"/>
        <item x="53"/>
        <item x="188"/>
        <item x="140"/>
        <item x="64"/>
        <item x="146"/>
        <item x="126"/>
        <item x="94"/>
        <item x="25"/>
        <item x="85"/>
        <item x="116"/>
        <item x="162"/>
        <item x="135"/>
        <item x="155"/>
        <item x="63"/>
        <item x="172"/>
        <item x="147"/>
        <item x="49"/>
        <item x="88"/>
        <item x="12"/>
        <item x="107"/>
        <item x="78"/>
        <item x="51"/>
        <item x="127"/>
        <item x="182"/>
        <item x="163"/>
        <item x="114"/>
        <item x="150"/>
        <item x="61"/>
        <item x="18"/>
        <item x="151"/>
        <item x="161"/>
        <item x="3"/>
        <item x="14"/>
        <item x="52"/>
        <item x="121"/>
        <item x="189"/>
        <item x="164"/>
        <item x="59"/>
        <item x="32"/>
        <item x="10"/>
        <item x="141"/>
        <item x="33"/>
        <item x="1"/>
        <item x="192"/>
        <item x="26"/>
        <item x="131"/>
        <item x="195"/>
        <item x="176"/>
        <item x="117"/>
        <item x="191"/>
        <item x="11"/>
        <item x="2"/>
        <item x="30"/>
        <item x="38"/>
        <item x="198"/>
        <item x="83"/>
        <item x="112"/>
        <item x="124"/>
        <item x="196"/>
        <item x="177"/>
        <item x="66"/>
        <item x="41"/>
        <item x="60"/>
        <item x="158"/>
        <item x="183"/>
        <item x="90"/>
        <item x="86"/>
        <item x="181"/>
        <item x="166"/>
        <item x="109"/>
        <item x="154"/>
        <item x="106"/>
        <item x="13"/>
        <item x="56"/>
        <item x="187"/>
        <item x="58"/>
        <item x="84"/>
        <item x="43"/>
        <item x="110"/>
        <item x="93"/>
        <item x="21"/>
        <item x="190"/>
        <item x="79"/>
        <item x="62"/>
        <item x="118"/>
        <item x="92"/>
        <item x="74"/>
        <item x="180"/>
        <item x="50"/>
        <item x="167"/>
        <item x="113"/>
        <item x="123"/>
        <item x="139"/>
        <item x="144"/>
        <item x="99"/>
        <item x="194"/>
        <item x="24"/>
        <item x="185"/>
        <item x="45"/>
        <item x="69"/>
        <item x="159"/>
        <item x="133"/>
        <item x="80"/>
        <item x="27"/>
        <item x="115"/>
        <item x="201"/>
        <item x="134"/>
        <item x="67"/>
        <item x="95"/>
        <item x="122"/>
        <item x="0"/>
        <item t="default"/>
      </items>
    </pivotField>
    <pivotField compact="0" outline="0" showAll="0"/>
  </pivotFields>
  <rowFields count="1">
    <field x="6"/>
  </rowFields>
  <rowItems count="5">
    <i>
      <x v="2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" fld="8" baseField="0" baseItem="0"/>
    <dataField name="Count of Txn ID"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outline="0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2688D-F47D-4414-B989-CF6BD06BDB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4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5">
        <item x="7"/>
        <item x="10"/>
        <item x="1"/>
        <item x="8"/>
        <item x="3"/>
        <item x="6"/>
        <item x="9"/>
        <item x="0"/>
        <item x="11"/>
        <item x="4"/>
        <item x="2"/>
        <item x="12"/>
        <item x="5"/>
        <item x="13"/>
        <item t="default"/>
      </items>
    </pivotField>
    <pivotField compact="0" outline="0" showAll="0"/>
    <pivotField compact="0" outline="0" showAll="0">
      <items count="5">
        <item x="1"/>
        <item h="1" x="2"/>
        <item h="1" x="3"/>
        <item h="1" x="0"/>
        <item t="default"/>
      </items>
    </pivotField>
    <pivotField compact="0" numFmtId="15" outline="0" showAll="0"/>
    <pivotField dataField="1" compact="0" outline="0" showAll="0">
      <items count="203">
        <item x="137"/>
        <item x="193"/>
        <item x="130"/>
        <item x="31"/>
        <item x="44"/>
        <item x="89"/>
        <item x="17"/>
        <item x="142"/>
        <item x="23"/>
        <item x="129"/>
        <item x="70"/>
        <item x="128"/>
        <item x="16"/>
        <item x="103"/>
        <item x="29"/>
        <item x="19"/>
        <item x="148"/>
        <item x="97"/>
        <item x="104"/>
        <item x="168"/>
        <item x="73"/>
        <item x="157"/>
        <item x="178"/>
        <item x="165"/>
        <item x="36"/>
        <item x="81"/>
        <item x="48"/>
        <item x="199"/>
        <item x="39"/>
        <item x="102"/>
        <item x="37"/>
        <item x="175"/>
        <item x="108"/>
        <item x="153"/>
        <item x="87"/>
        <item x="169"/>
        <item x="184"/>
        <item x="105"/>
        <item x="186"/>
        <item x="15"/>
        <item x="149"/>
        <item x="174"/>
        <item x="20"/>
        <item x="96"/>
        <item x="98"/>
        <item x="197"/>
        <item x="91"/>
        <item x="76"/>
        <item x="143"/>
        <item x="179"/>
        <item x="171"/>
        <item x="120"/>
        <item x="34"/>
        <item x="77"/>
        <item x="101"/>
        <item x="173"/>
        <item x="22"/>
        <item x="7"/>
        <item x="82"/>
        <item x="100"/>
        <item x="55"/>
        <item x="75"/>
        <item x="156"/>
        <item x="57"/>
        <item x="71"/>
        <item x="8"/>
        <item x="35"/>
        <item x="28"/>
        <item x="5"/>
        <item x="152"/>
        <item x="200"/>
        <item x="54"/>
        <item x="72"/>
        <item x="136"/>
        <item x="170"/>
        <item x="68"/>
        <item x="6"/>
        <item x="160"/>
        <item x="46"/>
        <item x="65"/>
        <item x="138"/>
        <item x="4"/>
        <item x="119"/>
        <item x="40"/>
        <item x="111"/>
        <item x="47"/>
        <item x="42"/>
        <item x="125"/>
        <item x="9"/>
        <item x="145"/>
        <item x="132"/>
        <item x="53"/>
        <item x="188"/>
        <item x="140"/>
        <item x="64"/>
        <item x="146"/>
        <item x="126"/>
        <item x="94"/>
        <item x="25"/>
        <item x="85"/>
        <item x="116"/>
        <item x="162"/>
        <item x="135"/>
        <item x="155"/>
        <item x="63"/>
        <item x="172"/>
        <item x="147"/>
        <item x="49"/>
        <item x="88"/>
        <item x="12"/>
        <item x="107"/>
        <item x="78"/>
        <item x="51"/>
        <item x="127"/>
        <item x="182"/>
        <item x="163"/>
        <item x="114"/>
        <item x="150"/>
        <item x="61"/>
        <item x="18"/>
        <item x="151"/>
        <item x="161"/>
        <item x="3"/>
        <item x="14"/>
        <item x="52"/>
        <item x="121"/>
        <item x="189"/>
        <item x="164"/>
        <item x="59"/>
        <item x="32"/>
        <item x="10"/>
        <item x="141"/>
        <item x="33"/>
        <item x="1"/>
        <item x="192"/>
        <item x="26"/>
        <item x="131"/>
        <item x="195"/>
        <item x="176"/>
        <item x="117"/>
        <item x="191"/>
        <item x="11"/>
        <item x="2"/>
        <item x="30"/>
        <item x="38"/>
        <item x="198"/>
        <item x="83"/>
        <item x="112"/>
        <item x="124"/>
        <item x="196"/>
        <item x="177"/>
        <item x="66"/>
        <item x="41"/>
        <item x="60"/>
        <item x="158"/>
        <item x="183"/>
        <item x="90"/>
        <item x="86"/>
        <item x="181"/>
        <item x="166"/>
        <item x="109"/>
        <item x="154"/>
        <item x="106"/>
        <item x="13"/>
        <item x="56"/>
        <item x="187"/>
        <item x="58"/>
        <item x="84"/>
        <item x="43"/>
        <item x="110"/>
        <item x="93"/>
        <item x="21"/>
        <item x="190"/>
        <item x="79"/>
        <item x="62"/>
        <item x="118"/>
        <item x="92"/>
        <item x="74"/>
        <item x="180"/>
        <item x="50"/>
        <item x="167"/>
        <item x="113"/>
        <item x="123"/>
        <item x="139"/>
        <item x="144"/>
        <item x="99"/>
        <item x="194"/>
        <item x="24"/>
        <item x="185"/>
        <item x="45"/>
        <item x="69"/>
        <item x="159"/>
        <item x="133"/>
        <item x="80"/>
        <item x="27"/>
        <item x="115"/>
        <item x="201"/>
        <item x="134"/>
        <item x="67"/>
        <item x="95"/>
        <item x="122"/>
        <item x="0"/>
        <item t="default"/>
      </items>
    </pivotField>
    <pivotField compact="0" outline="0" showAll="0"/>
  </pivotFields>
  <rowFields count="1">
    <field x="4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urchase Amount" fld="8" baseField="0" baseItem="0"/>
  </dataFields>
  <formats count="2">
    <format dxfId="19">
      <pivotArea outline="0" fieldPosition="0">
        <references count="1">
          <reference field="4" count="0" selected="0"/>
        </references>
      </pivotArea>
    </format>
    <format dxfId="18">
      <pivotArea grandRow="1" outline="0" collapsedLevelsAreSubtotals="1" fieldPosition="0"/>
    </format>
  </formats>
  <conditionalFormats count="2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1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urchase_Mode" xr10:uid="{3A1B3734-6D57-4414-8FC8-8DAC0F36C05F}" sourceName="Purchase Mode">
  <pivotTables>
    <pivotTable tabId="5" name="PivotTable2"/>
  </pivotTables>
  <data>
    <tabular pivotCacheId="1825168234">
      <items count="4">
        <i x="1" s="1"/>
        <i x="2"/>
        <i x="3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urchase Mode" xr10:uid="{2F4A7CDF-286F-4A2E-8AC1-58E32327A4BC}" cache="Slicer_Purchase_Mode" caption="Purchase Mod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6B7CB-E644-4C06-BF12-EBDC5FFDA019}" name="Sales" displayName="Sales" ref="A2:J445" totalsRowShown="0" headerRowDxfId="11" dataDxfId="10">
  <autoFilter ref="A2:J445" xr:uid="{DE26B7CB-E644-4C06-BF12-EBDC5FFDA019}"/>
  <tableColumns count="10">
    <tableColumn id="1" xr3:uid="{52B0C1AF-6982-49A4-AC09-382B0D857875}" name="Txn ID" dataDxfId="9"/>
    <tableColumn id="2" xr3:uid="{4A38CA22-2D0B-463E-8B74-803B9C4DAF49}" name="First Name" dataDxfId="8"/>
    <tableColumn id="3" xr3:uid="{0398D3F0-D78C-4F64-8506-EBDDBFB32DE7}" name="Last Name" dataDxfId="7"/>
    <tableColumn id="4" xr3:uid="{713AB58A-7270-4822-8FFC-78123DD03ED0}" name="Email" dataDxfId="6"/>
    <tableColumn id="5" xr3:uid="{E6ECA94E-9949-4C10-A7F8-FAEFA3422DE5}" name="Job Title" dataDxfId="5"/>
    <tableColumn id="6" xr3:uid="{DB3783D1-CAF8-4BF6-B29E-D0CCB7711638}" name="Product" dataDxfId="4"/>
    <tableColumn id="7" xr3:uid="{072D083C-492C-4DA4-839F-60719605E134}" name="Purchase Mode" dataDxfId="3"/>
    <tableColumn id="8" xr3:uid="{D845F548-450C-4640-A2A2-1AF60F6BB2D6}" name="Date" dataDxfId="2"/>
    <tableColumn id="9" xr3:uid="{ADA4D4EF-ABA6-4D46-AE75-0ABDF4DD16D6}" name="Purchase Amount" dataDxfId="1"/>
    <tableColumn id="10" xr3:uid="{B1800618-09D6-41F1-97B3-8F74D7B88AF1}" name="Status" dataDxfId="0">
      <calculatedColumnFormula>IF(Sales[[#This Row],[Purchase Amount]]&gt;0,"Yes","No")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 /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AB05-BAF9-41A5-94D4-212F54D574CD}">
  <dimension ref="A3:C471"/>
  <sheetViews>
    <sheetView workbookViewId="0">
      <selection activeCell="K25" sqref="K25"/>
    </sheetView>
  </sheetViews>
  <sheetFormatPr defaultRowHeight="15" x14ac:dyDescent="0.2"/>
  <cols>
    <col min="1" max="1" width="11.703125" bestFit="1" customWidth="1"/>
    <col min="2" max="2" width="20.3125" bestFit="1" customWidth="1"/>
    <col min="3" max="3" width="24.078125" bestFit="1" customWidth="1"/>
    <col min="4" max="4" width="13.98828125" bestFit="1" customWidth="1"/>
    <col min="5" max="5" width="16.27734375" bestFit="1" customWidth="1"/>
    <col min="6" max="6" width="11.1640625" bestFit="1" customWidth="1"/>
    <col min="7" max="7" width="21.25390625" bestFit="1" customWidth="1"/>
    <col min="8" max="8" width="14.2578125" bestFit="1" customWidth="1"/>
    <col min="9" max="9" width="24.88671875" bestFit="1" customWidth="1"/>
    <col min="10" max="10" width="19.1015625" bestFit="1" customWidth="1"/>
    <col min="11" max="11" width="25.828125" bestFit="1" customWidth="1"/>
    <col min="12" max="12" width="23.5390625" bestFit="1" customWidth="1"/>
    <col min="13" max="13" width="25.421875" bestFit="1" customWidth="1"/>
    <col min="14" max="14" width="23.13671875" bestFit="1" customWidth="1"/>
    <col min="15" max="15" width="20.17578125" bestFit="1" customWidth="1"/>
    <col min="16" max="16" width="20.71484375" bestFit="1" customWidth="1"/>
    <col min="17" max="17" width="20.17578125" bestFit="1" customWidth="1"/>
    <col min="18" max="18" width="22.328125" bestFit="1" customWidth="1"/>
    <col min="19" max="19" width="20.3125" bestFit="1" customWidth="1"/>
    <col min="20" max="20" width="18.83203125" bestFit="1" customWidth="1"/>
    <col min="21" max="21" width="19.7734375" bestFit="1" customWidth="1"/>
    <col min="22" max="22" width="24.75" bestFit="1" customWidth="1"/>
    <col min="23" max="23" width="22.46484375" bestFit="1" customWidth="1"/>
    <col min="24" max="24" width="22.59765625" bestFit="1" customWidth="1"/>
    <col min="25" max="25" width="13.5859375" bestFit="1" customWidth="1"/>
    <col min="26" max="26" width="6.859375" bestFit="1" customWidth="1"/>
    <col min="27" max="27" width="23.5390625" bestFit="1" customWidth="1"/>
    <col min="28" max="28" width="18.96484375" bestFit="1" customWidth="1"/>
    <col min="29" max="29" width="15.6015625" bestFit="1" customWidth="1"/>
    <col min="30" max="30" width="25.01953125" bestFit="1" customWidth="1"/>
    <col min="31" max="31" width="20.4453125" bestFit="1" customWidth="1"/>
    <col min="32" max="32" width="21.5234375" bestFit="1" customWidth="1"/>
    <col min="33" max="33" width="25.01953125" bestFit="1" customWidth="1"/>
    <col min="34" max="34" width="20.84765625" bestFit="1" customWidth="1"/>
    <col min="35" max="35" width="24.34765625" bestFit="1" customWidth="1"/>
    <col min="36" max="36" width="22.05859375" bestFit="1" customWidth="1"/>
    <col min="37" max="37" width="20.4453125" bestFit="1" customWidth="1"/>
    <col min="38" max="39" width="20.984375" bestFit="1" customWidth="1"/>
    <col min="40" max="40" width="28.515625" bestFit="1" customWidth="1"/>
    <col min="41" max="41" width="16.54296875" bestFit="1" customWidth="1"/>
    <col min="42" max="42" width="9.4140625" bestFit="1" customWidth="1"/>
    <col min="43" max="43" width="16.0078125" bestFit="1" customWidth="1"/>
    <col min="44" max="44" width="15.19921875" bestFit="1" customWidth="1"/>
    <col min="45" max="45" width="13.71875" bestFit="1" customWidth="1"/>
    <col min="46" max="46" width="18.96484375" bestFit="1" customWidth="1"/>
    <col min="47" max="47" width="19.90625" bestFit="1" customWidth="1"/>
    <col min="48" max="48" width="24.48046875" bestFit="1" customWidth="1"/>
    <col min="49" max="49" width="18.29296875" bestFit="1" customWidth="1"/>
    <col min="50" max="50" width="19.7734375" bestFit="1" customWidth="1"/>
    <col min="51" max="51" width="26.76953125" bestFit="1" customWidth="1"/>
    <col min="52" max="52" width="20.58203125" bestFit="1" customWidth="1"/>
    <col min="53" max="53" width="21.1171875" bestFit="1" customWidth="1"/>
    <col min="54" max="54" width="26.6328125" bestFit="1" customWidth="1"/>
    <col min="55" max="55" width="16.27734375" bestFit="1" customWidth="1"/>
    <col min="56" max="56" width="20.58203125" bestFit="1" customWidth="1"/>
    <col min="57" max="57" width="23" bestFit="1" customWidth="1"/>
    <col min="58" max="60" width="17.890625" bestFit="1" customWidth="1"/>
    <col min="61" max="61" width="20.4453125" bestFit="1" customWidth="1"/>
    <col min="62" max="62" width="18.4296875" bestFit="1" customWidth="1"/>
    <col min="63" max="63" width="11.43359375" bestFit="1" customWidth="1"/>
    <col min="64" max="64" width="11.703125" bestFit="1" customWidth="1"/>
  </cols>
  <sheetData>
    <row r="3" spans="1:3" x14ac:dyDescent="0.2">
      <c r="A3" s="8" t="s">
        <v>0</v>
      </c>
      <c r="B3" s="8" t="s">
        <v>1</v>
      </c>
      <c r="C3" t="s">
        <v>2</v>
      </c>
    </row>
    <row r="4" spans="1:3" x14ac:dyDescent="0.2">
      <c r="A4" s="1">
        <v>45261</v>
      </c>
      <c r="C4" s="9">
        <v>930</v>
      </c>
    </row>
    <row r="5" spans="1:3" x14ac:dyDescent="0.2">
      <c r="A5" s="1">
        <v>45262</v>
      </c>
      <c r="C5" s="9">
        <v>4140</v>
      </c>
    </row>
    <row r="6" spans="1:3" x14ac:dyDescent="0.2">
      <c r="A6" s="1">
        <v>45263</v>
      </c>
      <c r="C6" s="9">
        <v>2460</v>
      </c>
    </row>
    <row r="7" spans="1:3" x14ac:dyDescent="0.2">
      <c r="A7" s="1">
        <v>45264</v>
      </c>
      <c r="B7">
        <v>35</v>
      </c>
      <c r="C7" s="9">
        <v>35</v>
      </c>
    </row>
    <row r="8" spans="1:3" x14ac:dyDescent="0.2">
      <c r="B8">
        <v>80</v>
      </c>
      <c r="C8" s="9">
        <v>80</v>
      </c>
    </row>
    <row r="9" spans="1:3" x14ac:dyDescent="0.2">
      <c r="B9">
        <v>275</v>
      </c>
      <c r="C9" s="9">
        <v>275</v>
      </c>
    </row>
    <row r="10" spans="1:3" x14ac:dyDescent="0.2">
      <c r="B10">
        <v>765</v>
      </c>
      <c r="C10" s="9">
        <v>765</v>
      </c>
    </row>
    <row r="11" spans="1:3" x14ac:dyDescent="0.2">
      <c r="B11">
        <v>820</v>
      </c>
      <c r="C11" s="9">
        <v>820</v>
      </c>
    </row>
    <row r="12" spans="1:3" x14ac:dyDescent="0.2">
      <c r="B12">
        <v>845</v>
      </c>
      <c r="C12" s="9">
        <v>845</v>
      </c>
    </row>
    <row r="13" spans="1:3" x14ac:dyDescent="0.2">
      <c r="B13">
        <v>1190</v>
      </c>
      <c r="C13" s="9">
        <v>1190</v>
      </c>
    </row>
    <row r="14" spans="1:3" x14ac:dyDescent="0.2">
      <c r="B14" t="s">
        <v>3</v>
      </c>
      <c r="C14" s="9"/>
    </row>
    <row r="15" spans="1:3" x14ac:dyDescent="0.2">
      <c r="A15" s="1" t="s">
        <v>4</v>
      </c>
      <c r="C15" s="9">
        <v>4010</v>
      </c>
    </row>
    <row r="16" spans="1:3" x14ac:dyDescent="0.2">
      <c r="A16" s="1">
        <v>45265</v>
      </c>
      <c r="B16">
        <v>95</v>
      </c>
      <c r="C16" s="9">
        <v>95</v>
      </c>
    </row>
    <row r="17" spans="1:3" x14ac:dyDescent="0.2">
      <c r="B17">
        <v>290</v>
      </c>
      <c r="C17" s="9">
        <v>290</v>
      </c>
    </row>
    <row r="18" spans="1:3" x14ac:dyDescent="0.2">
      <c r="B18" t="s">
        <v>3</v>
      </c>
      <c r="C18" s="9"/>
    </row>
    <row r="19" spans="1:3" x14ac:dyDescent="0.2">
      <c r="A19" s="1" t="s">
        <v>5</v>
      </c>
      <c r="C19" s="9">
        <v>385</v>
      </c>
    </row>
    <row r="20" spans="1:3" x14ac:dyDescent="0.2">
      <c r="A20" s="1">
        <v>45266</v>
      </c>
      <c r="B20">
        <v>60</v>
      </c>
      <c r="C20" s="9">
        <v>60</v>
      </c>
    </row>
    <row r="21" spans="1:3" x14ac:dyDescent="0.2">
      <c r="B21">
        <v>385</v>
      </c>
      <c r="C21" s="9">
        <v>385</v>
      </c>
    </row>
    <row r="22" spans="1:3" x14ac:dyDescent="0.2">
      <c r="B22">
        <v>390</v>
      </c>
      <c r="C22" s="9">
        <v>390</v>
      </c>
    </row>
    <row r="23" spans="1:3" x14ac:dyDescent="0.2">
      <c r="B23">
        <v>695</v>
      </c>
      <c r="C23" s="9">
        <v>695</v>
      </c>
    </row>
    <row r="24" spans="1:3" x14ac:dyDescent="0.2">
      <c r="B24">
        <v>940</v>
      </c>
      <c r="C24" s="9">
        <v>940</v>
      </c>
    </row>
    <row r="25" spans="1:3" x14ac:dyDescent="0.2">
      <c r="B25">
        <v>1290</v>
      </c>
      <c r="C25" s="9">
        <v>1290</v>
      </c>
    </row>
    <row r="26" spans="1:3" x14ac:dyDescent="0.2">
      <c r="B26">
        <v>1580</v>
      </c>
      <c r="C26" s="9">
        <v>1580</v>
      </c>
    </row>
    <row r="27" spans="1:3" x14ac:dyDescent="0.2">
      <c r="B27">
        <v>1730</v>
      </c>
      <c r="C27" s="9">
        <v>1730</v>
      </c>
    </row>
    <row r="28" spans="1:3" x14ac:dyDescent="0.2">
      <c r="B28" t="s">
        <v>3</v>
      </c>
      <c r="C28" s="9"/>
    </row>
    <row r="29" spans="1:3" x14ac:dyDescent="0.2">
      <c r="A29" s="1" t="s">
        <v>6</v>
      </c>
      <c r="C29" s="9">
        <v>7070</v>
      </c>
    </row>
    <row r="30" spans="1:3" x14ac:dyDescent="0.2">
      <c r="A30" s="1">
        <v>45268</v>
      </c>
      <c r="B30">
        <v>35</v>
      </c>
      <c r="C30" s="9">
        <v>35</v>
      </c>
    </row>
    <row r="31" spans="1:3" x14ac:dyDescent="0.2">
      <c r="B31">
        <v>90</v>
      </c>
      <c r="C31" s="9">
        <v>90</v>
      </c>
    </row>
    <row r="32" spans="1:3" x14ac:dyDescent="0.2">
      <c r="B32">
        <v>450</v>
      </c>
      <c r="C32" s="9">
        <v>450</v>
      </c>
    </row>
    <row r="33" spans="1:3" x14ac:dyDescent="0.2">
      <c r="B33">
        <v>930</v>
      </c>
      <c r="C33" s="9">
        <v>930</v>
      </c>
    </row>
    <row r="34" spans="1:3" x14ac:dyDescent="0.2">
      <c r="B34">
        <v>990</v>
      </c>
      <c r="C34" s="9">
        <v>990</v>
      </c>
    </row>
    <row r="35" spans="1:3" x14ac:dyDescent="0.2">
      <c r="B35" t="s">
        <v>3</v>
      </c>
      <c r="C35" s="9"/>
    </row>
    <row r="36" spans="1:3" x14ac:dyDescent="0.2">
      <c r="A36" s="1" t="s">
        <v>7</v>
      </c>
      <c r="C36" s="9">
        <v>2495</v>
      </c>
    </row>
    <row r="37" spans="1:3" x14ac:dyDescent="0.2">
      <c r="A37" s="1">
        <v>45269</v>
      </c>
      <c r="B37">
        <v>20</v>
      </c>
      <c r="C37" s="9">
        <v>20</v>
      </c>
    </row>
    <row r="38" spans="1:3" x14ac:dyDescent="0.2">
      <c r="B38">
        <v>365</v>
      </c>
      <c r="C38" s="9">
        <v>365</v>
      </c>
    </row>
    <row r="39" spans="1:3" x14ac:dyDescent="0.2">
      <c r="B39">
        <v>445</v>
      </c>
      <c r="C39" s="9">
        <v>445</v>
      </c>
    </row>
    <row r="40" spans="1:3" x14ac:dyDescent="0.2">
      <c r="B40">
        <v>890</v>
      </c>
      <c r="C40" s="9">
        <v>890</v>
      </c>
    </row>
    <row r="41" spans="1:3" x14ac:dyDescent="0.2">
      <c r="B41">
        <v>915</v>
      </c>
      <c r="C41" s="9">
        <v>915</v>
      </c>
    </row>
    <row r="42" spans="1:3" x14ac:dyDescent="0.2">
      <c r="B42" t="s">
        <v>3</v>
      </c>
      <c r="C42" s="9"/>
    </row>
    <row r="43" spans="1:3" x14ac:dyDescent="0.2">
      <c r="A43" s="1" t="s">
        <v>8</v>
      </c>
      <c r="C43" s="9">
        <v>2635</v>
      </c>
    </row>
    <row r="44" spans="1:3" x14ac:dyDescent="0.2">
      <c r="A44" s="1">
        <v>45270</v>
      </c>
      <c r="B44">
        <v>160</v>
      </c>
      <c r="C44" s="9">
        <v>160</v>
      </c>
    </row>
    <row r="45" spans="1:3" x14ac:dyDescent="0.2">
      <c r="A45" s="1" t="s">
        <v>9</v>
      </c>
      <c r="C45" s="9">
        <v>160</v>
      </c>
    </row>
    <row r="46" spans="1:3" x14ac:dyDescent="0.2">
      <c r="A46" s="1">
        <v>45271</v>
      </c>
      <c r="B46">
        <v>195</v>
      </c>
      <c r="C46" s="9">
        <v>195</v>
      </c>
    </row>
    <row r="47" spans="1:3" x14ac:dyDescent="0.2">
      <c r="B47">
        <v>1000</v>
      </c>
      <c r="C47" s="9">
        <v>1000</v>
      </c>
    </row>
    <row r="48" spans="1:3" x14ac:dyDescent="0.2">
      <c r="B48" t="s">
        <v>3</v>
      </c>
      <c r="C48" s="9"/>
    </row>
    <row r="49" spans="1:3" x14ac:dyDescent="0.2">
      <c r="A49" s="1" t="s">
        <v>10</v>
      </c>
      <c r="C49" s="9">
        <v>1195</v>
      </c>
    </row>
    <row r="50" spans="1:3" x14ac:dyDescent="0.2">
      <c r="A50" s="1">
        <v>45272</v>
      </c>
      <c r="B50">
        <v>25</v>
      </c>
      <c r="C50" s="9">
        <v>25</v>
      </c>
    </row>
    <row r="51" spans="1:3" x14ac:dyDescent="0.2">
      <c r="B51">
        <v>185</v>
      </c>
      <c r="C51" s="9">
        <v>185</v>
      </c>
    </row>
    <row r="52" spans="1:3" x14ac:dyDescent="0.2">
      <c r="B52">
        <v>545</v>
      </c>
      <c r="C52" s="9">
        <v>545</v>
      </c>
    </row>
    <row r="53" spans="1:3" x14ac:dyDescent="0.2">
      <c r="B53">
        <v>570</v>
      </c>
      <c r="C53" s="9">
        <v>570</v>
      </c>
    </row>
    <row r="54" spans="1:3" x14ac:dyDescent="0.2">
      <c r="B54">
        <v>1095</v>
      </c>
      <c r="C54" s="9">
        <v>1095</v>
      </c>
    </row>
    <row r="55" spans="1:3" x14ac:dyDescent="0.2">
      <c r="B55">
        <v>1240</v>
      </c>
      <c r="C55" s="9">
        <v>1240</v>
      </c>
    </row>
    <row r="56" spans="1:3" x14ac:dyDescent="0.2">
      <c r="B56">
        <v>1620</v>
      </c>
      <c r="C56" s="9">
        <v>1620</v>
      </c>
    </row>
    <row r="57" spans="1:3" x14ac:dyDescent="0.2">
      <c r="B57" t="s">
        <v>3</v>
      </c>
      <c r="C57" s="9"/>
    </row>
    <row r="58" spans="1:3" x14ac:dyDescent="0.2">
      <c r="A58" s="1" t="s">
        <v>11</v>
      </c>
      <c r="C58" s="9">
        <v>5280</v>
      </c>
    </row>
    <row r="59" spans="1:3" x14ac:dyDescent="0.2">
      <c r="A59" s="1">
        <v>45273</v>
      </c>
      <c r="B59">
        <v>20</v>
      </c>
      <c r="C59" s="9">
        <v>20</v>
      </c>
    </row>
    <row r="60" spans="1:3" x14ac:dyDescent="0.2">
      <c r="B60">
        <v>60</v>
      </c>
      <c r="C60" s="9">
        <v>60</v>
      </c>
    </row>
    <row r="61" spans="1:3" x14ac:dyDescent="0.2">
      <c r="B61">
        <v>515</v>
      </c>
      <c r="C61" s="9">
        <v>515</v>
      </c>
    </row>
    <row r="62" spans="1:3" x14ac:dyDescent="0.2">
      <c r="B62">
        <v>565</v>
      </c>
      <c r="C62" s="9">
        <v>565</v>
      </c>
    </row>
    <row r="63" spans="1:3" x14ac:dyDescent="0.2">
      <c r="A63" s="1" t="s">
        <v>12</v>
      </c>
      <c r="C63" s="9">
        <v>1160</v>
      </c>
    </row>
    <row r="64" spans="1:3" x14ac:dyDescent="0.2">
      <c r="A64" s="1">
        <v>45274</v>
      </c>
      <c r="B64">
        <v>175</v>
      </c>
      <c r="C64" s="9">
        <v>175</v>
      </c>
    </row>
    <row r="65" spans="1:3" x14ac:dyDescent="0.2">
      <c r="B65">
        <v>940</v>
      </c>
      <c r="C65" s="9">
        <v>940</v>
      </c>
    </row>
    <row r="66" spans="1:3" x14ac:dyDescent="0.2">
      <c r="B66">
        <v>1000</v>
      </c>
      <c r="C66" s="9">
        <v>1000</v>
      </c>
    </row>
    <row r="67" spans="1:3" x14ac:dyDescent="0.2">
      <c r="B67" t="s">
        <v>3</v>
      </c>
      <c r="C67" s="9"/>
    </row>
    <row r="68" spans="1:3" x14ac:dyDescent="0.2">
      <c r="A68" s="1" t="s">
        <v>13</v>
      </c>
      <c r="C68" s="9">
        <v>2115</v>
      </c>
    </row>
    <row r="69" spans="1:3" x14ac:dyDescent="0.2">
      <c r="A69" s="1">
        <v>45275</v>
      </c>
      <c r="B69">
        <v>605</v>
      </c>
      <c r="C69" s="9">
        <v>605</v>
      </c>
    </row>
    <row r="70" spans="1:3" x14ac:dyDescent="0.2">
      <c r="B70">
        <v>755</v>
      </c>
      <c r="C70" s="9">
        <v>755</v>
      </c>
    </row>
    <row r="71" spans="1:3" x14ac:dyDescent="0.2">
      <c r="B71">
        <v>780</v>
      </c>
      <c r="C71" s="9">
        <v>780</v>
      </c>
    </row>
    <row r="72" spans="1:3" x14ac:dyDescent="0.2">
      <c r="B72">
        <v>855</v>
      </c>
      <c r="C72" s="9">
        <v>855</v>
      </c>
    </row>
    <row r="73" spans="1:3" x14ac:dyDescent="0.2">
      <c r="B73">
        <v>1415</v>
      </c>
      <c r="C73" s="9">
        <v>1415</v>
      </c>
    </row>
    <row r="74" spans="1:3" x14ac:dyDescent="0.2">
      <c r="B74" t="s">
        <v>3</v>
      </c>
      <c r="C74" s="9"/>
    </row>
    <row r="75" spans="1:3" x14ac:dyDescent="0.2">
      <c r="A75" s="1" t="s">
        <v>14</v>
      </c>
      <c r="C75" s="9">
        <v>4410</v>
      </c>
    </row>
    <row r="76" spans="1:3" x14ac:dyDescent="0.2">
      <c r="A76" s="1">
        <v>45276</v>
      </c>
      <c r="B76">
        <v>405</v>
      </c>
      <c r="C76" s="9">
        <v>405</v>
      </c>
    </row>
    <row r="77" spans="1:3" x14ac:dyDescent="0.2">
      <c r="B77">
        <v>425</v>
      </c>
      <c r="C77" s="9">
        <v>425</v>
      </c>
    </row>
    <row r="78" spans="1:3" x14ac:dyDescent="0.2">
      <c r="B78">
        <v>475</v>
      </c>
      <c r="C78" s="9">
        <v>475</v>
      </c>
    </row>
    <row r="79" spans="1:3" x14ac:dyDescent="0.2">
      <c r="B79">
        <v>880</v>
      </c>
      <c r="C79" s="9">
        <v>880</v>
      </c>
    </row>
    <row r="80" spans="1:3" x14ac:dyDescent="0.2">
      <c r="B80">
        <v>1200</v>
      </c>
      <c r="C80" s="9">
        <v>1200</v>
      </c>
    </row>
    <row r="81" spans="1:3" x14ac:dyDescent="0.2">
      <c r="B81">
        <v>1230</v>
      </c>
      <c r="C81" s="9">
        <v>1230</v>
      </c>
    </row>
    <row r="82" spans="1:3" x14ac:dyDescent="0.2">
      <c r="B82" t="s">
        <v>3</v>
      </c>
      <c r="C82" s="9"/>
    </row>
    <row r="83" spans="1:3" x14ac:dyDescent="0.2">
      <c r="A83" s="1" t="s">
        <v>15</v>
      </c>
      <c r="C83" s="9">
        <v>4615</v>
      </c>
    </row>
    <row r="84" spans="1:3" x14ac:dyDescent="0.2">
      <c r="A84" s="1">
        <v>45277</v>
      </c>
      <c r="B84">
        <v>815</v>
      </c>
      <c r="C84" s="9">
        <v>815</v>
      </c>
    </row>
    <row r="85" spans="1:3" x14ac:dyDescent="0.2">
      <c r="B85">
        <v>1100</v>
      </c>
      <c r="C85" s="9">
        <v>1100</v>
      </c>
    </row>
    <row r="86" spans="1:3" x14ac:dyDescent="0.2">
      <c r="B86" t="s">
        <v>3</v>
      </c>
      <c r="C86" s="9"/>
    </row>
    <row r="87" spans="1:3" x14ac:dyDescent="0.2">
      <c r="A87" s="1" t="s">
        <v>16</v>
      </c>
      <c r="C87" s="9">
        <v>1915</v>
      </c>
    </row>
    <row r="88" spans="1:3" x14ac:dyDescent="0.2">
      <c r="A88" s="1">
        <v>45278</v>
      </c>
      <c r="B88">
        <v>735</v>
      </c>
      <c r="C88" s="9">
        <v>735</v>
      </c>
    </row>
    <row r="89" spans="1:3" x14ac:dyDescent="0.2">
      <c r="B89">
        <v>990</v>
      </c>
      <c r="C89" s="9">
        <v>990</v>
      </c>
    </row>
    <row r="90" spans="1:3" x14ac:dyDescent="0.2">
      <c r="B90">
        <v>1350</v>
      </c>
      <c r="C90" s="9">
        <v>1350</v>
      </c>
    </row>
    <row r="91" spans="1:3" x14ac:dyDescent="0.2">
      <c r="A91" s="1" t="s">
        <v>17</v>
      </c>
      <c r="C91" s="9">
        <v>3075</v>
      </c>
    </row>
    <row r="92" spans="1:3" x14ac:dyDescent="0.2">
      <c r="A92" s="1">
        <v>45279</v>
      </c>
      <c r="B92">
        <v>525</v>
      </c>
      <c r="C92" s="9">
        <v>525</v>
      </c>
    </row>
    <row r="93" spans="1:3" x14ac:dyDescent="0.2">
      <c r="B93">
        <v>640</v>
      </c>
      <c r="C93" s="9">
        <v>640</v>
      </c>
    </row>
    <row r="94" spans="1:3" x14ac:dyDescent="0.2">
      <c r="A94" s="1" t="s">
        <v>18</v>
      </c>
      <c r="C94" s="9">
        <v>1165</v>
      </c>
    </row>
    <row r="95" spans="1:3" x14ac:dyDescent="0.2">
      <c r="A95" s="1">
        <v>45280</v>
      </c>
      <c r="B95">
        <v>495</v>
      </c>
      <c r="C95" s="9">
        <v>495</v>
      </c>
    </row>
    <row r="96" spans="1:3" x14ac:dyDescent="0.2">
      <c r="B96">
        <v>755</v>
      </c>
      <c r="C96" s="9">
        <v>755</v>
      </c>
    </row>
    <row r="97" spans="1:3" x14ac:dyDescent="0.2">
      <c r="B97">
        <v>1085</v>
      </c>
      <c r="C97" s="9">
        <v>1085</v>
      </c>
    </row>
    <row r="98" spans="1:3" x14ac:dyDescent="0.2">
      <c r="B98">
        <v>1645</v>
      </c>
      <c r="C98" s="9">
        <v>1645</v>
      </c>
    </row>
    <row r="99" spans="1:3" x14ac:dyDescent="0.2">
      <c r="B99">
        <v>1945</v>
      </c>
      <c r="C99" s="9">
        <v>1945</v>
      </c>
    </row>
    <row r="100" spans="1:3" x14ac:dyDescent="0.2">
      <c r="B100" t="s">
        <v>3</v>
      </c>
      <c r="C100" s="9"/>
    </row>
    <row r="101" spans="1:3" x14ac:dyDescent="0.2">
      <c r="A101" s="1" t="s">
        <v>19</v>
      </c>
      <c r="C101" s="9">
        <v>5925</v>
      </c>
    </row>
    <row r="102" spans="1:3" x14ac:dyDescent="0.2">
      <c r="A102" s="1">
        <v>45281</v>
      </c>
      <c r="B102">
        <v>70</v>
      </c>
      <c r="C102" s="9">
        <v>70</v>
      </c>
    </row>
    <row r="103" spans="1:3" x14ac:dyDescent="0.2">
      <c r="B103">
        <v>135</v>
      </c>
      <c r="C103" s="9">
        <v>135</v>
      </c>
    </row>
    <row r="104" spans="1:3" x14ac:dyDescent="0.2">
      <c r="B104">
        <v>325</v>
      </c>
      <c r="C104" s="9">
        <v>325</v>
      </c>
    </row>
    <row r="105" spans="1:3" x14ac:dyDescent="0.2">
      <c r="B105">
        <v>415</v>
      </c>
      <c r="C105" s="9">
        <v>415</v>
      </c>
    </row>
    <row r="106" spans="1:3" x14ac:dyDescent="0.2">
      <c r="B106">
        <v>435</v>
      </c>
      <c r="C106" s="9">
        <v>435</v>
      </c>
    </row>
    <row r="107" spans="1:3" x14ac:dyDescent="0.2">
      <c r="B107">
        <v>480</v>
      </c>
      <c r="C107" s="9">
        <v>480</v>
      </c>
    </row>
    <row r="108" spans="1:3" x14ac:dyDescent="0.2">
      <c r="B108">
        <v>1380</v>
      </c>
      <c r="C108" s="9">
        <v>1380</v>
      </c>
    </row>
    <row r="109" spans="1:3" x14ac:dyDescent="0.2">
      <c r="B109" t="s">
        <v>3</v>
      </c>
      <c r="C109" s="9"/>
    </row>
    <row r="110" spans="1:3" x14ac:dyDescent="0.2">
      <c r="A110" s="1" t="s">
        <v>20</v>
      </c>
      <c r="C110" s="9">
        <v>3240</v>
      </c>
    </row>
    <row r="111" spans="1:3" x14ac:dyDescent="0.2">
      <c r="A111" s="1">
        <v>45282</v>
      </c>
      <c r="B111">
        <v>370</v>
      </c>
      <c r="C111" s="9">
        <v>370</v>
      </c>
    </row>
    <row r="112" spans="1:3" x14ac:dyDescent="0.2">
      <c r="B112">
        <v>775</v>
      </c>
      <c r="C112" s="9">
        <v>775</v>
      </c>
    </row>
    <row r="113" spans="1:3" x14ac:dyDescent="0.2">
      <c r="B113">
        <v>1315</v>
      </c>
      <c r="C113" s="9">
        <v>1315</v>
      </c>
    </row>
    <row r="114" spans="1:3" x14ac:dyDescent="0.2">
      <c r="B114">
        <v>1720</v>
      </c>
      <c r="C114" s="9">
        <v>1720</v>
      </c>
    </row>
    <row r="115" spans="1:3" x14ac:dyDescent="0.2">
      <c r="A115" s="1" t="s">
        <v>21</v>
      </c>
      <c r="C115" s="9">
        <v>4180</v>
      </c>
    </row>
    <row r="116" spans="1:3" x14ac:dyDescent="0.2">
      <c r="A116" s="1">
        <v>45283</v>
      </c>
      <c r="B116">
        <v>170</v>
      </c>
      <c r="C116" s="9">
        <v>170</v>
      </c>
    </row>
    <row r="117" spans="1:3" x14ac:dyDescent="0.2">
      <c r="B117" t="s">
        <v>3</v>
      </c>
      <c r="C117" s="9"/>
    </row>
    <row r="118" spans="1:3" x14ac:dyDescent="0.2">
      <c r="A118" s="1" t="s">
        <v>22</v>
      </c>
      <c r="C118" s="9">
        <v>170</v>
      </c>
    </row>
    <row r="119" spans="1:3" x14ac:dyDescent="0.2">
      <c r="A119" s="1">
        <v>45284</v>
      </c>
      <c r="B119">
        <v>395</v>
      </c>
      <c r="C119" s="9">
        <v>395</v>
      </c>
    </row>
    <row r="120" spans="1:3" x14ac:dyDescent="0.2">
      <c r="B120">
        <v>700</v>
      </c>
      <c r="C120" s="9">
        <v>700</v>
      </c>
    </row>
    <row r="121" spans="1:3" x14ac:dyDescent="0.2">
      <c r="B121">
        <v>1030</v>
      </c>
      <c r="C121" s="9">
        <v>1030</v>
      </c>
    </row>
    <row r="122" spans="1:3" x14ac:dyDescent="0.2">
      <c r="B122">
        <v>1235</v>
      </c>
      <c r="C122" s="9">
        <v>1235</v>
      </c>
    </row>
    <row r="123" spans="1:3" x14ac:dyDescent="0.2">
      <c r="B123" t="s">
        <v>3</v>
      </c>
      <c r="C123" s="9"/>
    </row>
    <row r="124" spans="1:3" x14ac:dyDescent="0.2">
      <c r="A124" s="1" t="s">
        <v>23</v>
      </c>
      <c r="C124" s="9">
        <v>3360</v>
      </c>
    </row>
    <row r="125" spans="1:3" x14ac:dyDescent="0.2">
      <c r="A125" s="1">
        <v>45285</v>
      </c>
      <c r="B125">
        <v>225</v>
      </c>
      <c r="C125" s="9">
        <v>225</v>
      </c>
    </row>
    <row r="126" spans="1:3" x14ac:dyDescent="0.2">
      <c r="B126">
        <v>1135</v>
      </c>
      <c r="C126" s="9">
        <v>1135</v>
      </c>
    </row>
    <row r="127" spans="1:3" x14ac:dyDescent="0.2">
      <c r="B127" t="s">
        <v>3</v>
      </c>
      <c r="C127" s="9"/>
    </row>
    <row r="128" spans="1:3" x14ac:dyDescent="0.2">
      <c r="A128" s="1" t="s">
        <v>24</v>
      </c>
      <c r="C128" s="9">
        <v>1360</v>
      </c>
    </row>
    <row r="129" spans="1:3" x14ac:dyDescent="0.2">
      <c r="A129" s="1">
        <v>45286</v>
      </c>
      <c r="B129">
        <v>30</v>
      </c>
      <c r="C129" s="9">
        <v>30</v>
      </c>
    </row>
    <row r="130" spans="1:3" x14ac:dyDescent="0.2">
      <c r="B130">
        <v>225</v>
      </c>
      <c r="C130" s="9">
        <v>225</v>
      </c>
    </row>
    <row r="131" spans="1:3" x14ac:dyDescent="0.2">
      <c r="B131">
        <v>315</v>
      </c>
      <c r="C131" s="9">
        <v>315</v>
      </c>
    </row>
    <row r="132" spans="1:3" x14ac:dyDescent="0.2">
      <c r="B132">
        <v>760</v>
      </c>
      <c r="C132" s="9">
        <v>760</v>
      </c>
    </row>
    <row r="133" spans="1:3" x14ac:dyDescent="0.2">
      <c r="B133">
        <v>780</v>
      </c>
      <c r="C133" s="9">
        <v>780</v>
      </c>
    </row>
    <row r="134" spans="1:3" x14ac:dyDescent="0.2">
      <c r="B134">
        <v>1120</v>
      </c>
      <c r="C134" s="9">
        <v>1120</v>
      </c>
    </row>
    <row r="135" spans="1:3" x14ac:dyDescent="0.2">
      <c r="B135">
        <v>1365</v>
      </c>
      <c r="C135" s="9">
        <v>1365</v>
      </c>
    </row>
    <row r="136" spans="1:3" x14ac:dyDescent="0.2">
      <c r="B136" t="s">
        <v>3</v>
      </c>
      <c r="C136" s="9"/>
    </row>
    <row r="137" spans="1:3" x14ac:dyDescent="0.2">
      <c r="A137" s="1" t="s">
        <v>25</v>
      </c>
      <c r="C137" s="9">
        <v>4595</v>
      </c>
    </row>
    <row r="138" spans="1:3" x14ac:dyDescent="0.2">
      <c r="A138" s="1">
        <v>45287</v>
      </c>
      <c r="B138">
        <v>450</v>
      </c>
      <c r="C138" s="9">
        <v>450</v>
      </c>
    </row>
    <row r="139" spans="1:3" x14ac:dyDescent="0.2">
      <c r="B139">
        <v>765</v>
      </c>
      <c r="C139" s="9">
        <v>765</v>
      </c>
    </row>
    <row r="140" spans="1:3" x14ac:dyDescent="0.2">
      <c r="B140" t="s">
        <v>3</v>
      </c>
      <c r="C140" s="9"/>
    </row>
    <row r="141" spans="1:3" x14ac:dyDescent="0.2">
      <c r="A141" s="1" t="s">
        <v>26</v>
      </c>
      <c r="C141" s="9">
        <v>1215</v>
      </c>
    </row>
    <row r="142" spans="1:3" x14ac:dyDescent="0.2">
      <c r="A142" s="1">
        <v>45288</v>
      </c>
      <c r="B142">
        <v>1290</v>
      </c>
      <c r="C142" s="9">
        <v>1290</v>
      </c>
    </row>
    <row r="143" spans="1:3" x14ac:dyDescent="0.2">
      <c r="B143" t="s">
        <v>3</v>
      </c>
      <c r="C143" s="9"/>
    </row>
    <row r="144" spans="1:3" x14ac:dyDescent="0.2">
      <c r="A144" s="1" t="s">
        <v>27</v>
      </c>
      <c r="C144" s="9">
        <v>1290</v>
      </c>
    </row>
    <row r="145" spans="1:3" x14ac:dyDescent="0.2">
      <c r="A145" s="1">
        <v>45289</v>
      </c>
      <c r="B145">
        <v>120</v>
      </c>
      <c r="C145" s="9">
        <v>120</v>
      </c>
    </row>
    <row r="146" spans="1:3" x14ac:dyDescent="0.2">
      <c r="B146">
        <v>295</v>
      </c>
      <c r="C146" s="9">
        <v>295</v>
      </c>
    </row>
    <row r="147" spans="1:3" x14ac:dyDescent="0.2">
      <c r="B147">
        <v>525</v>
      </c>
      <c r="C147" s="9">
        <v>525</v>
      </c>
    </row>
    <row r="148" spans="1:3" x14ac:dyDescent="0.2">
      <c r="B148">
        <v>690</v>
      </c>
      <c r="C148" s="9">
        <v>690</v>
      </c>
    </row>
    <row r="149" spans="1:3" x14ac:dyDescent="0.2">
      <c r="B149">
        <v>755</v>
      </c>
      <c r="C149" s="9">
        <v>755</v>
      </c>
    </row>
    <row r="150" spans="1:3" x14ac:dyDescent="0.2">
      <c r="B150">
        <v>1275</v>
      </c>
      <c r="C150" s="9">
        <v>1275</v>
      </c>
    </row>
    <row r="151" spans="1:3" x14ac:dyDescent="0.2">
      <c r="B151">
        <v>2075</v>
      </c>
      <c r="C151" s="9">
        <v>2075</v>
      </c>
    </row>
    <row r="152" spans="1:3" x14ac:dyDescent="0.2">
      <c r="B152" t="s">
        <v>3</v>
      </c>
      <c r="C152" s="9"/>
    </row>
    <row r="153" spans="1:3" x14ac:dyDescent="0.2">
      <c r="A153" s="1" t="s">
        <v>28</v>
      </c>
      <c r="C153" s="9">
        <v>5735</v>
      </c>
    </row>
    <row r="154" spans="1:3" x14ac:dyDescent="0.2">
      <c r="A154" s="1">
        <v>45290</v>
      </c>
      <c r="B154">
        <v>300</v>
      </c>
      <c r="C154" s="9">
        <v>300</v>
      </c>
    </row>
    <row r="155" spans="1:3" x14ac:dyDescent="0.2">
      <c r="B155">
        <v>375</v>
      </c>
      <c r="C155" s="9">
        <v>375</v>
      </c>
    </row>
    <row r="156" spans="1:3" x14ac:dyDescent="0.2">
      <c r="B156">
        <v>400</v>
      </c>
      <c r="C156" s="9">
        <v>400</v>
      </c>
    </row>
    <row r="157" spans="1:3" x14ac:dyDescent="0.2">
      <c r="B157">
        <v>1540</v>
      </c>
      <c r="C157" s="9">
        <v>1540</v>
      </c>
    </row>
    <row r="158" spans="1:3" x14ac:dyDescent="0.2">
      <c r="A158" s="1" t="s">
        <v>29</v>
      </c>
      <c r="C158" s="9">
        <v>2615</v>
      </c>
    </row>
    <row r="159" spans="1:3" x14ac:dyDescent="0.2">
      <c r="A159" s="1">
        <v>45291</v>
      </c>
      <c r="B159">
        <v>190</v>
      </c>
      <c r="C159" s="9">
        <v>190</v>
      </c>
    </row>
    <row r="160" spans="1:3" x14ac:dyDescent="0.2">
      <c r="B160">
        <v>515</v>
      </c>
      <c r="C160" s="9">
        <v>515</v>
      </c>
    </row>
    <row r="161" spans="1:3" x14ac:dyDescent="0.2">
      <c r="B161" t="s">
        <v>3</v>
      </c>
      <c r="C161" s="9"/>
    </row>
    <row r="162" spans="1:3" x14ac:dyDescent="0.2">
      <c r="A162" s="1" t="s">
        <v>30</v>
      </c>
      <c r="C162" s="9">
        <v>705</v>
      </c>
    </row>
    <row r="163" spans="1:3" x14ac:dyDescent="0.2">
      <c r="A163" s="1">
        <v>45292</v>
      </c>
      <c r="B163">
        <v>85</v>
      </c>
      <c r="C163" s="9">
        <v>85</v>
      </c>
    </row>
    <row r="164" spans="1:3" x14ac:dyDescent="0.2">
      <c r="B164">
        <v>125</v>
      </c>
      <c r="C164" s="9">
        <v>125</v>
      </c>
    </row>
    <row r="165" spans="1:3" x14ac:dyDescent="0.2">
      <c r="B165" t="s">
        <v>3</v>
      </c>
      <c r="C165" s="9"/>
    </row>
    <row r="166" spans="1:3" x14ac:dyDescent="0.2">
      <c r="A166" s="1" t="s">
        <v>31</v>
      </c>
      <c r="C166" s="9">
        <v>210</v>
      </c>
    </row>
    <row r="167" spans="1:3" x14ac:dyDescent="0.2">
      <c r="A167" s="1">
        <v>45293</v>
      </c>
      <c r="B167">
        <v>175</v>
      </c>
      <c r="C167" s="9">
        <v>175</v>
      </c>
    </row>
    <row r="168" spans="1:3" x14ac:dyDescent="0.2">
      <c r="B168">
        <v>260</v>
      </c>
      <c r="C168" s="9">
        <v>260</v>
      </c>
    </row>
    <row r="169" spans="1:3" x14ac:dyDescent="0.2">
      <c r="B169">
        <v>565</v>
      </c>
      <c r="C169" s="9">
        <v>565</v>
      </c>
    </row>
    <row r="170" spans="1:3" x14ac:dyDescent="0.2">
      <c r="B170">
        <v>770</v>
      </c>
      <c r="C170" s="9">
        <v>770</v>
      </c>
    </row>
    <row r="171" spans="1:3" x14ac:dyDescent="0.2">
      <c r="B171">
        <v>835</v>
      </c>
      <c r="C171" s="9">
        <v>835</v>
      </c>
    </row>
    <row r="172" spans="1:3" x14ac:dyDescent="0.2">
      <c r="B172">
        <v>1175</v>
      </c>
      <c r="C172" s="9">
        <v>1175</v>
      </c>
    </row>
    <row r="173" spans="1:3" x14ac:dyDescent="0.2">
      <c r="B173" t="s">
        <v>3</v>
      </c>
      <c r="C173" s="9"/>
    </row>
    <row r="174" spans="1:3" x14ac:dyDescent="0.2">
      <c r="A174" s="1" t="s">
        <v>32</v>
      </c>
      <c r="C174" s="9">
        <v>3780</v>
      </c>
    </row>
    <row r="175" spans="1:3" x14ac:dyDescent="0.2">
      <c r="A175" s="1">
        <v>45294</v>
      </c>
      <c r="B175">
        <v>205</v>
      </c>
      <c r="C175" s="9">
        <v>205</v>
      </c>
    </row>
    <row r="176" spans="1:3" x14ac:dyDescent="0.2">
      <c r="B176">
        <v>425</v>
      </c>
      <c r="C176" s="9">
        <v>425</v>
      </c>
    </row>
    <row r="177" spans="1:3" x14ac:dyDescent="0.2">
      <c r="B177" t="s">
        <v>3</v>
      </c>
      <c r="C177" s="9"/>
    </row>
    <row r="178" spans="1:3" x14ac:dyDescent="0.2">
      <c r="A178" s="1" t="s">
        <v>33</v>
      </c>
      <c r="C178" s="9">
        <v>630</v>
      </c>
    </row>
    <row r="179" spans="1:3" x14ac:dyDescent="0.2">
      <c r="A179" s="1">
        <v>45295</v>
      </c>
      <c r="B179">
        <v>195</v>
      </c>
      <c r="C179" s="9">
        <v>195</v>
      </c>
    </row>
    <row r="180" spans="1:3" x14ac:dyDescent="0.2">
      <c r="B180">
        <v>1155</v>
      </c>
      <c r="C180" s="9">
        <v>1155</v>
      </c>
    </row>
    <row r="181" spans="1:3" x14ac:dyDescent="0.2">
      <c r="B181">
        <v>1265</v>
      </c>
      <c r="C181" s="9">
        <v>1265</v>
      </c>
    </row>
    <row r="182" spans="1:3" x14ac:dyDescent="0.2">
      <c r="B182" t="s">
        <v>3</v>
      </c>
      <c r="C182" s="9"/>
    </row>
    <row r="183" spans="1:3" x14ac:dyDescent="0.2">
      <c r="A183" s="1" t="s">
        <v>34</v>
      </c>
      <c r="C183" s="9">
        <v>2615</v>
      </c>
    </row>
    <row r="184" spans="1:3" x14ac:dyDescent="0.2">
      <c r="A184" s="1">
        <v>45296</v>
      </c>
      <c r="B184">
        <v>560</v>
      </c>
      <c r="C184" s="9">
        <v>560</v>
      </c>
    </row>
    <row r="185" spans="1:3" x14ac:dyDescent="0.2">
      <c r="B185">
        <v>1350</v>
      </c>
      <c r="C185" s="9">
        <v>1350</v>
      </c>
    </row>
    <row r="186" spans="1:3" x14ac:dyDescent="0.2">
      <c r="A186" s="1" t="s">
        <v>35</v>
      </c>
      <c r="C186" s="9">
        <v>1910</v>
      </c>
    </row>
    <row r="187" spans="1:3" x14ac:dyDescent="0.2">
      <c r="A187" s="1">
        <v>45297</v>
      </c>
      <c r="B187">
        <v>190</v>
      </c>
      <c r="C187" s="9">
        <v>190</v>
      </c>
    </row>
    <row r="188" spans="1:3" x14ac:dyDescent="0.2">
      <c r="B188">
        <v>405</v>
      </c>
      <c r="C188" s="9">
        <v>405</v>
      </c>
    </row>
    <row r="189" spans="1:3" x14ac:dyDescent="0.2">
      <c r="B189">
        <v>705</v>
      </c>
      <c r="C189" s="9">
        <v>705</v>
      </c>
    </row>
    <row r="190" spans="1:3" x14ac:dyDescent="0.2">
      <c r="B190">
        <v>800</v>
      </c>
      <c r="C190" s="9">
        <v>800</v>
      </c>
    </row>
    <row r="191" spans="1:3" x14ac:dyDescent="0.2">
      <c r="B191">
        <v>965</v>
      </c>
      <c r="C191" s="9">
        <v>965</v>
      </c>
    </row>
    <row r="192" spans="1:3" x14ac:dyDescent="0.2">
      <c r="B192">
        <v>1040</v>
      </c>
      <c r="C192" s="9">
        <v>1040</v>
      </c>
    </row>
    <row r="193" spans="1:3" x14ac:dyDescent="0.2">
      <c r="B193">
        <v>1475</v>
      </c>
      <c r="C193" s="9">
        <v>1475</v>
      </c>
    </row>
    <row r="194" spans="1:3" x14ac:dyDescent="0.2">
      <c r="B194">
        <v>1755</v>
      </c>
      <c r="C194" s="9">
        <v>1755</v>
      </c>
    </row>
    <row r="195" spans="1:3" x14ac:dyDescent="0.2">
      <c r="B195" t="s">
        <v>3</v>
      </c>
      <c r="C195" s="9"/>
    </row>
    <row r="196" spans="1:3" x14ac:dyDescent="0.2">
      <c r="A196" s="1" t="s">
        <v>36</v>
      </c>
      <c r="C196" s="9">
        <v>7335</v>
      </c>
    </row>
    <row r="197" spans="1:3" x14ac:dyDescent="0.2">
      <c r="A197" s="1">
        <v>45298</v>
      </c>
      <c r="B197">
        <v>540</v>
      </c>
      <c r="C197" s="9">
        <v>540</v>
      </c>
    </row>
    <row r="198" spans="1:3" x14ac:dyDescent="0.2">
      <c r="B198">
        <v>605</v>
      </c>
      <c r="C198" s="9">
        <v>605</v>
      </c>
    </row>
    <row r="199" spans="1:3" x14ac:dyDescent="0.2">
      <c r="B199">
        <v>1360</v>
      </c>
      <c r="C199" s="9">
        <v>1360</v>
      </c>
    </row>
    <row r="200" spans="1:3" x14ac:dyDescent="0.2">
      <c r="A200" s="1" t="s">
        <v>37</v>
      </c>
      <c r="C200" s="9">
        <v>2505</v>
      </c>
    </row>
    <row r="201" spans="1:3" x14ac:dyDescent="0.2">
      <c r="A201" s="1">
        <v>45299</v>
      </c>
      <c r="B201">
        <v>355</v>
      </c>
      <c r="C201" s="9">
        <v>355</v>
      </c>
    </row>
    <row r="202" spans="1:3" x14ac:dyDescent="0.2">
      <c r="B202">
        <v>860</v>
      </c>
      <c r="C202" s="9">
        <v>860</v>
      </c>
    </row>
    <row r="203" spans="1:3" x14ac:dyDescent="0.2">
      <c r="A203" s="1" t="s">
        <v>38</v>
      </c>
      <c r="C203" s="9">
        <v>1215</v>
      </c>
    </row>
    <row r="204" spans="1:3" x14ac:dyDescent="0.2">
      <c r="A204" s="1">
        <v>45300</v>
      </c>
      <c r="B204">
        <v>435</v>
      </c>
      <c r="C204" s="9">
        <v>435</v>
      </c>
    </row>
    <row r="205" spans="1:3" x14ac:dyDescent="0.2">
      <c r="B205">
        <v>2125</v>
      </c>
      <c r="C205" s="9">
        <v>2125</v>
      </c>
    </row>
    <row r="206" spans="1:3" x14ac:dyDescent="0.2">
      <c r="B206" t="s">
        <v>3</v>
      </c>
      <c r="C206" s="9"/>
    </row>
    <row r="207" spans="1:3" x14ac:dyDescent="0.2">
      <c r="A207" s="1" t="s">
        <v>39</v>
      </c>
      <c r="C207" s="9">
        <v>2560</v>
      </c>
    </row>
    <row r="208" spans="1:3" x14ac:dyDescent="0.2">
      <c r="A208" s="1">
        <v>45301</v>
      </c>
      <c r="B208">
        <v>400</v>
      </c>
      <c r="C208" s="9">
        <v>400</v>
      </c>
    </row>
    <row r="209" spans="1:3" x14ac:dyDescent="0.2">
      <c r="B209">
        <v>1490</v>
      </c>
      <c r="C209" s="9">
        <v>1490</v>
      </c>
    </row>
    <row r="210" spans="1:3" x14ac:dyDescent="0.2">
      <c r="A210" s="1" t="s">
        <v>40</v>
      </c>
      <c r="C210" s="9">
        <v>1890</v>
      </c>
    </row>
    <row r="211" spans="1:3" x14ac:dyDescent="0.2">
      <c r="A211" s="1">
        <v>45302</v>
      </c>
      <c r="B211">
        <v>525</v>
      </c>
      <c r="C211" s="9">
        <v>525</v>
      </c>
    </row>
    <row r="212" spans="1:3" x14ac:dyDescent="0.2">
      <c r="B212">
        <v>575</v>
      </c>
      <c r="C212" s="9">
        <v>575</v>
      </c>
    </row>
    <row r="213" spans="1:3" x14ac:dyDescent="0.2">
      <c r="B213">
        <v>1045</v>
      </c>
      <c r="C213" s="9">
        <v>1045</v>
      </c>
    </row>
    <row r="214" spans="1:3" x14ac:dyDescent="0.2">
      <c r="B214" t="s">
        <v>3</v>
      </c>
      <c r="C214" s="9"/>
    </row>
    <row r="215" spans="1:3" x14ac:dyDescent="0.2">
      <c r="A215" s="1" t="s">
        <v>41</v>
      </c>
      <c r="C215" s="9">
        <v>2145</v>
      </c>
    </row>
    <row r="216" spans="1:3" x14ac:dyDescent="0.2">
      <c r="A216" s="1">
        <v>45303</v>
      </c>
      <c r="B216">
        <v>135</v>
      </c>
      <c r="C216" s="9">
        <v>135</v>
      </c>
    </row>
    <row r="217" spans="1:3" x14ac:dyDescent="0.2">
      <c r="B217">
        <v>655</v>
      </c>
      <c r="C217" s="9">
        <v>655</v>
      </c>
    </row>
    <row r="218" spans="1:3" x14ac:dyDescent="0.2">
      <c r="B218">
        <v>1365</v>
      </c>
      <c r="C218" s="9">
        <v>1365</v>
      </c>
    </row>
    <row r="219" spans="1:3" x14ac:dyDescent="0.2">
      <c r="B219" t="s">
        <v>3</v>
      </c>
      <c r="C219" s="9"/>
    </row>
    <row r="220" spans="1:3" x14ac:dyDescent="0.2">
      <c r="A220" s="1" t="s">
        <v>42</v>
      </c>
      <c r="C220" s="9">
        <v>2155</v>
      </c>
    </row>
    <row r="221" spans="1:3" x14ac:dyDescent="0.2">
      <c r="A221" s="1">
        <v>45304</v>
      </c>
      <c r="B221">
        <v>75</v>
      </c>
      <c r="C221" s="9">
        <v>75</v>
      </c>
    </row>
    <row r="222" spans="1:3" x14ac:dyDescent="0.2">
      <c r="B222">
        <v>785</v>
      </c>
      <c r="C222" s="9">
        <v>785</v>
      </c>
    </row>
    <row r="223" spans="1:3" x14ac:dyDescent="0.2">
      <c r="B223" t="s">
        <v>3</v>
      </c>
      <c r="C223" s="9"/>
    </row>
    <row r="224" spans="1:3" x14ac:dyDescent="0.2">
      <c r="A224" s="1" t="s">
        <v>43</v>
      </c>
      <c r="C224" s="9">
        <v>860</v>
      </c>
    </row>
    <row r="225" spans="1:3" x14ac:dyDescent="0.2">
      <c r="A225" s="1">
        <v>45305</v>
      </c>
      <c r="B225">
        <v>15</v>
      </c>
      <c r="C225" s="9">
        <v>15</v>
      </c>
    </row>
    <row r="226" spans="1:3" x14ac:dyDescent="0.2">
      <c r="B226">
        <v>65</v>
      </c>
      <c r="C226" s="9">
        <v>65</v>
      </c>
    </row>
    <row r="227" spans="1:3" x14ac:dyDescent="0.2">
      <c r="B227">
        <v>90</v>
      </c>
      <c r="C227" s="9">
        <v>90</v>
      </c>
    </row>
    <row r="228" spans="1:3" x14ac:dyDescent="0.2">
      <c r="B228">
        <v>880</v>
      </c>
      <c r="C228" s="9">
        <v>880</v>
      </c>
    </row>
    <row r="229" spans="1:3" x14ac:dyDescent="0.2">
      <c r="B229">
        <v>940</v>
      </c>
      <c r="C229" s="9">
        <v>940</v>
      </c>
    </row>
    <row r="230" spans="1:3" x14ac:dyDescent="0.2">
      <c r="B230">
        <v>945</v>
      </c>
      <c r="C230" s="9">
        <v>945</v>
      </c>
    </row>
    <row r="231" spans="1:3" x14ac:dyDescent="0.2">
      <c r="A231" s="1" t="s">
        <v>44</v>
      </c>
      <c r="C231" s="9">
        <v>2935</v>
      </c>
    </row>
    <row r="232" spans="1:3" x14ac:dyDescent="0.2">
      <c r="A232" s="1">
        <v>45306</v>
      </c>
      <c r="B232">
        <v>395</v>
      </c>
      <c r="C232" s="9">
        <v>395</v>
      </c>
    </row>
    <row r="233" spans="1:3" x14ac:dyDescent="0.2">
      <c r="A233" s="1" t="s">
        <v>45</v>
      </c>
      <c r="C233" s="9">
        <v>395</v>
      </c>
    </row>
    <row r="234" spans="1:3" x14ac:dyDescent="0.2">
      <c r="A234" s="1">
        <v>45307</v>
      </c>
      <c r="B234">
        <v>595</v>
      </c>
      <c r="C234" s="9">
        <v>595</v>
      </c>
    </row>
    <row r="235" spans="1:3" x14ac:dyDescent="0.2">
      <c r="B235">
        <v>945</v>
      </c>
      <c r="C235" s="9">
        <v>945</v>
      </c>
    </row>
    <row r="236" spans="1:3" x14ac:dyDescent="0.2">
      <c r="B236" t="s">
        <v>3</v>
      </c>
      <c r="C236" s="9"/>
    </row>
    <row r="237" spans="1:3" x14ac:dyDescent="0.2">
      <c r="A237" s="1" t="s">
        <v>46</v>
      </c>
      <c r="C237" s="9">
        <v>1540</v>
      </c>
    </row>
    <row r="238" spans="1:3" x14ac:dyDescent="0.2">
      <c r="A238" s="1">
        <v>45308</v>
      </c>
      <c r="B238">
        <v>190</v>
      </c>
      <c r="C238" s="9">
        <v>190</v>
      </c>
    </row>
    <row r="239" spans="1:3" x14ac:dyDescent="0.2">
      <c r="B239">
        <v>365</v>
      </c>
      <c r="C239" s="9">
        <v>365</v>
      </c>
    </row>
    <row r="240" spans="1:3" x14ac:dyDescent="0.2">
      <c r="B240">
        <v>835</v>
      </c>
      <c r="C240" s="9">
        <v>835</v>
      </c>
    </row>
    <row r="241" spans="1:3" x14ac:dyDescent="0.2">
      <c r="B241">
        <v>1680</v>
      </c>
      <c r="C241" s="9">
        <v>1680</v>
      </c>
    </row>
    <row r="242" spans="1:3" x14ac:dyDescent="0.2">
      <c r="B242" t="s">
        <v>3</v>
      </c>
      <c r="C242" s="9"/>
    </row>
    <row r="243" spans="1:3" x14ac:dyDescent="0.2">
      <c r="A243" s="1" t="s">
        <v>47</v>
      </c>
      <c r="C243" s="9">
        <v>3070</v>
      </c>
    </row>
    <row r="244" spans="1:3" x14ac:dyDescent="0.2">
      <c r="A244" s="1">
        <v>45309</v>
      </c>
      <c r="B244">
        <v>75</v>
      </c>
      <c r="C244" s="9">
        <v>75</v>
      </c>
    </row>
    <row r="245" spans="1:3" x14ac:dyDescent="0.2">
      <c r="B245">
        <v>720</v>
      </c>
      <c r="C245" s="9">
        <v>720</v>
      </c>
    </row>
    <row r="246" spans="1:3" x14ac:dyDescent="0.2">
      <c r="B246">
        <v>1815</v>
      </c>
      <c r="C246" s="9">
        <v>1815</v>
      </c>
    </row>
    <row r="247" spans="1:3" x14ac:dyDescent="0.2">
      <c r="B247" t="s">
        <v>3</v>
      </c>
      <c r="C247" s="9"/>
    </row>
    <row r="248" spans="1:3" x14ac:dyDescent="0.2">
      <c r="A248" s="1" t="s">
        <v>48</v>
      </c>
      <c r="C248" s="9">
        <v>2610</v>
      </c>
    </row>
    <row r="249" spans="1:3" x14ac:dyDescent="0.2">
      <c r="A249" s="1">
        <v>45310</v>
      </c>
      <c r="B249">
        <v>5</v>
      </c>
      <c r="C249" s="9">
        <v>5</v>
      </c>
    </row>
    <row r="250" spans="1:3" x14ac:dyDescent="0.2">
      <c r="B250">
        <v>485</v>
      </c>
      <c r="C250" s="9">
        <v>485</v>
      </c>
    </row>
    <row r="251" spans="1:3" x14ac:dyDescent="0.2">
      <c r="B251">
        <v>530</v>
      </c>
      <c r="C251" s="9">
        <v>530</v>
      </c>
    </row>
    <row r="252" spans="1:3" x14ac:dyDescent="0.2">
      <c r="B252">
        <v>1500</v>
      </c>
      <c r="C252" s="9">
        <v>1500</v>
      </c>
    </row>
    <row r="253" spans="1:3" x14ac:dyDescent="0.2">
      <c r="B253" t="s">
        <v>3</v>
      </c>
      <c r="C253" s="9"/>
    </row>
    <row r="254" spans="1:3" x14ac:dyDescent="0.2">
      <c r="A254" s="1" t="s">
        <v>49</v>
      </c>
      <c r="C254" s="9">
        <v>2520</v>
      </c>
    </row>
    <row r="255" spans="1:3" x14ac:dyDescent="0.2">
      <c r="A255" s="1">
        <v>45311</v>
      </c>
      <c r="B255">
        <v>45</v>
      </c>
      <c r="C255" s="9">
        <v>45</v>
      </c>
    </row>
    <row r="256" spans="1:3" x14ac:dyDescent="0.2">
      <c r="B256">
        <v>445</v>
      </c>
      <c r="C256" s="9">
        <v>445</v>
      </c>
    </row>
    <row r="257" spans="1:3" x14ac:dyDescent="0.2">
      <c r="B257">
        <v>630</v>
      </c>
      <c r="C257" s="9">
        <v>630</v>
      </c>
    </row>
    <row r="258" spans="1:3" x14ac:dyDescent="0.2">
      <c r="B258">
        <v>910</v>
      </c>
      <c r="C258" s="9">
        <v>910</v>
      </c>
    </row>
    <row r="259" spans="1:3" x14ac:dyDescent="0.2">
      <c r="B259">
        <v>915</v>
      </c>
      <c r="C259" s="9">
        <v>915</v>
      </c>
    </row>
    <row r="260" spans="1:3" x14ac:dyDescent="0.2">
      <c r="A260" s="1" t="s">
        <v>50</v>
      </c>
      <c r="C260" s="9">
        <v>2945</v>
      </c>
    </row>
    <row r="261" spans="1:3" x14ac:dyDescent="0.2">
      <c r="A261" s="1">
        <v>45312</v>
      </c>
      <c r="B261">
        <v>20</v>
      </c>
      <c r="C261" s="9">
        <v>20</v>
      </c>
    </row>
    <row r="262" spans="1:3" x14ac:dyDescent="0.2">
      <c r="B262">
        <v>330</v>
      </c>
      <c r="C262" s="9">
        <v>330</v>
      </c>
    </row>
    <row r="263" spans="1:3" x14ac:dyDescent="0.2">
      <c r="B263">
        <v>860</v>
      </c>
      <c r="C263" s="9">
        <v>860</v>
      </c>
    </row>
    <row r="264" spans="1:3" x14ac:dyDescent="0.2">
      <c r="B264">
        <v>945</v>
      </c>
      <c r="C264" s="9">
        <v>945</v>
      </c>
    </row>
    <row r="265" spans="1:3" x14ac:dyDescent="0.2">
      <c r="B265" t="s">
        <v>3</v>
      </c>
      <c r="C265" s="9"/>
    </row>
    <row r="266" spans="1:3" x14ac:dyDescent="0.2">
      <c r="A266" s="1" t="s">
        <v>51</v>
      </c>
      <c r="C266" s="9">
        <v>2155</v>
      </c>
    </row>
    <row r="267" spans="1:3" x14ac:dyDescent="0.2">
      <c r="A267" s="1">
        <v>45313</v>
      </c>
      <c r="B267" t="s">
        <v>3</v>
      </c>
      <c r="C267" s="9"/>
    </row>
    <row r="268" spans="1:3" x14ac:dyDescent="0.2">
      <c r="A268" s="1" t="s">
        <v>52</v>
      </c>
      <c r="C268" s="9"/>
    </row>
    <row r="269" spans="1:3" x14ac:dyDescent="0.2">
      <c r="A269" s="1">
        <v>45314</v>
      </c>
      <c r="B269">
        <v>385</v>
      </c>
      <c r="C269" s="9">
        <v>385</v>
      </c>
    </row>
    <row r="270" spans="1:3" x14ac:dyDescent="0.2">
      <c r="B270">
        <v>590</v>
      </c>
      <c r="C270" s="9">
        <v>590</v>
      </c>
    </row>
    <row r="271" spans="1:3" x14ac:dyDescent="0.2">
      <c r="B271">
        <v>1535</v>
      </c>
      <c r="C271" s="9">
        <v>1535</v>
      </c>
    </row>
    <row r="272" spans="1:3" x14ac:dyDescent="0.2">
      <c r="B272" t="s">
        <v>3</v>
      </c>
      <c r="C272" s="9"/>
    </row>
    <row r="273" spans="1:3" x14ac:dyDescent="0.2">
      <c r="A273" s="1" t="s">
        <v>53</v>
      </c>
      <c r="C273" s="9">
        <v>2510</v>
      </c>
    </row>
    <row r="274" spans="1:3" x14ac:dyDescent="0.2">
      <c r="A274" s="1">
        <v>45315</v>
      </c>
      <c r="B274">
        <v>110</v>
      </c>
      <c r="C274" s="9">
        <v>110</v>
      </c>
    </row>
    <row r="275" spans="1:3" x14ac:dyDescent="0.2">
      <c r="B275">
        <v>280</v>
      </c>
      <c r="C275" s="9">
        <v>280</v>
      </c>
    </row>
    <row r="276" spans="1:3" x14ac:dyDescent="0.2">
      <c r="B276">
        <v>645</v>
      </c>
      <c r="C276" s="9">
        <v>645</v>
      </c>
    </row>
    <row r="277" spans="1:3" x14ac:dyDescent="0.2">
      <c r="B277">
        <v>750</v>
      </c>
      <c r="C277" s="9">
        <v>750</v>
      </c>
    </row>
    <row r="278" spans="1:3" x14ac:dyDescent="0.2">
      <c r="B278" t="s">
        <v>3</v>
      </c>
      <c r="C278" s="9"/>
    </row>
    <row r="279" spans="1:3" x14ac:dyDescent="0.2">
      <c r="A279" s="1" t="s">
        <v>54</v>
      </c>
      <c r="C279" s="9">
        <v>1785</v>
      </c>
    </row>
    <row r="280" spans="1:3" x14ac:dyDescent="0.2">
      <c r="A280" s="1">
        <v>45316</v>
      </c>
      <c r="B280">
        <v>195</v>
      </c>
      <c r="C280" s="9">
        <v>195</v>
      </c>
    </row>
    <row r="281" spans="1:3" x14ac:dyDescent="0.2">
      <c r="B281">
        <v>300</v>
      </c>
      <c r="C281" s="9">
        <v>300</v>
      </c>
    </row>
    <row r="282" spans="1:3" x14ac:dyDescent="0.2">
      <c r="B282">
        <v>460</v>
      </c>
      <c r="C282" s="9">
        <v>460</v>
      </c>
    </row>
    <row r="283" spans="1:3" x14ac:dyDescent="0.2">
      <c r="B283">
        <v>690</v>
      </c>
      <c r="C283" s="9">
        <v>690</v>
      </c>
    </row>
    <row r="284" spans="1:3" x14ac:dyDescent="0.2">
      <c r="B284">
        <v>810</v>
      </c>
      <c r="C284" s="9">
        <v>810</v>
      </c>
    </row>
    <row r="285" spans="1:3" x14ac:dyDescent="0.2">
      <c r="B285">
        <v>825</v>
      </c>
      <c r="C285" s="9">
        <v>825</v>
      </c>
    </row>
    <row r="286" spans="1:3" x14ac:dyDescent="0.2">
      <c r="B286" t="s">
        <v>3</v>
      </c>
      <c r="C286" s="9"/>
    </row>
    <row r="287" spans="1:3" x14ac:dyDescent="0.2">
      <c r="A287" s="1" t="s">
        <v>55</v>
      </c>
      <c r="C287" s="9">
        <v>3280</v>
      </c>
    </row>
    <row r="288" spans="1:3" x14ac:dyDescent="0.2">
      <c r="A288" s="1">
        <v>45317</v>
      </c>
      <c r="B288">
        <v>210</v>
      </c>
      <c r="C288" s="9">
        <v>210</v>
      </c>
    </row>
    <row r="289" spans="1:3" x14ac:dyDescent="0.2">
      <c r="B289">
        <v>645</v>
      </c>
      <c r="C289" s="9">
        <v>645</v>
      </c>
    </row>
    <row r="290" spans="1:3" x14ac:dyDescent="0.2">
      <c r="B290">
        <v>785</v>
      </c>
      <c r="C290" s="9">
        <v>785</v>
      </c>
    </row>
    <row r="291" spans="1:3" x14ac:dyDescent="0.2">
      <c r="B291">
        <v>1170</v>
      </c>
      <c r="C291" s="9">
        <v>1170</v>
      </c>
    </row>
    <row r="292" spans="1:3" x14ac:dyDescent="0.2">
      <c r="B292" t="s">
        <v>3</v>
      </c>
      <c r="C292" s="9"/>
    </row>
    <row r="293" spans="1:3" x14ac:dyDescent="0.2">
      <c r="A293" s="1" t="s">
        <v>56</v>
      </c>
      <c r="C293" s="9">
        <v>2810</v>
      </c>
    </row>
    <row r="294" spans="1:3" x14ac:dyDescent="0.2">
      <c r="A294" s="1">
        <v>45318</v>
      </c>
      <c r="B294">
        <v>375</v>
      </c>
      <c r="C294" s="9">
        <v>375</v>
      </c>
    </row>
    <row r="295" spans="1:3" x14ac:dyDescent="0.2">
      <c r="B295">
        <v>420</v>
      </c>
      <c r="C295" s="9">
        <v>420</v>
      </c>
    </row>
    <row r="296" spans="1:3" x14ac:dyDescent="0.2">
      <c r="B296">
        <v>585</v>
      </c>
      <c r="C296" s="9">
        <v>585</v>
      </c>
    </row>
    <row r="297" spans="1:3" x14ac:dyDescent="0.2">
      <c r="B297">
        <v>690</v>
      </c>
      <c r="C297" s="9">
        <v>1380</v>
      </c>
    </row>
    <row r="298" spans="1:3" x14ac:dyDescent="0.2">
      <c r="B298">
        <v>730</v>
      </c>
      <c r="C298" s="9">
        <v>730</v>
      </c>
    </row>
    <row r="299" spans="1:3" x14ac:dyDescent="0.2">
      <c r="B299">
        <v>785</v>
      </c>
      <c r="C299" s="9">
        <v>785</v>
      </c>
    </row>
    <row r="300" spans="1:3" x14ac:dyDescent="0.2">
      <c r="B300" t="s">
        <v>3</v>
      </c>
      <c r="C300" s="9"/>
    </row>
    <row r="301" spans="1:3" x14ac:dyDescent="0.2">
      <c r="A301" s="1" t="s">
        <v>57</v>
      </c>
      <c r="C301" s="9">
        <v>4275</v>
      </c>
    </row>
    <row r="302" spans="1:3" x14ac:dyDescent="0.2">
      <c r="A302" s="1">
        <v>45319</v>
      </c>
      <c r="B302">
        <v>140</v>
      </c>
      <c r="C302" s="9">
        <v>140</v>
      </c>
    </row>
    <row r="303" spans="1:3" x14ac:dyDescent="0.2">
      <c r="B303">
        <v>370</v>
      </c>
      <c r="C303" s="9">
        <v>370</v>
      </c>
    </row>
    <row r="304" spans="1:3" x14ac:dyDescent="0.2">
      <c r="B304">
        <v>565</v>
      </c>
      <c r="C304" s="9">
        <v>565</v>
      </c>
    </row>
    <row r="305" spans="1:3" x14ac:dyDescent="0.2">
      <c r="B305" t="s">
        <v>3</v>
      </c>
      <c r="C305" s="9"/>
    </row>
    <row r="306" spans="1:3" x14ac:dyDescent="0.2">
      <c r="A306" s="1" t="s">
        <v>58</v>
      </c>
      <c r="C306" s="9">
        <v>1075</v>
      </c>
    </row>
    <row r="307" spans="1:3" x14ac:dyDescent="0.2">
      <c r="A307" s="1">
        <v>45320</v>
      </c>
      <c r="B307">
        <v>405</v>
      </c>
      <c r="C307" s="9">
        <v>405</v>
      </c>
    </row>
    <row r="308" spans="1:3" x14ac:dyDescent="0.2">
      <c r="B308" t="s">
        <v>3</v>
      </c>
      <c r="C308" s="9"/>
    </row>
    <row r="309" spans="1:3" x14ac:dyDescent="0.2">
      <c r="A309" s="1" t="s">
        <v>59</v>
      </c>
      <c r="C309" s="9">
        <v>405</v>
      </c>
    </row>
    <row r="310" spans="1:3" x14ac:dyDescent="0.2">
      <c r="A310" s="1">
        <v>45321</v>
      </c>
      <c r="B310">
        <v>80</v>
      </c>
      <c r="C310" s="9">
        <v>80</v>
      </c>
    </row>
    <row r="311" spans="1:3" x14ac:dyDescent="0.2">
      <c r="B311">
        <v>505</v>
      </c>
      <c r="C311" s="9">
        <v>505</v>
      </c>
    </row>
    <row r="312" spans="1:3" x14ac:dyDescent="0.2">
      <c r="B312">
        <v>1110</v>
      </c>
      <c r="C312" s="9">
        <v>1110</v>
      </c>
    </row>
    <row r="313" spans="1:3" x14ac:dyDescent="0.2">
      <c r="B313">
        <v>1655</v>
      </c>
      <c r="C313" s="9">
        <v>1655</v>
      </c>
    </row>
    <row r="314" spans="1:3" x14ac:dyDescent="0.2">
      <c r="A314" s="1" t="s">
        <v>60</v>
      </c>
      <c r="C314" s="9">
        <v>3350</v>
      </c>
    </row>
    <row r="315" spans="1:3" x14ac:dyDescent="0.2">
      <c r="A315" s="1">
        <v>45322</v>
      </c>
      <c r="B315">
        <v>30</v>
      </c>
      <c r="C315" s="9">
        <v>30</v>
      </c>
    </row>
    <row r="316" spans="1:3" x14ac:dyDescent="0.2">
      <c r="B316">
        <v>150</v>
      </c>
      <c r="C316" s="9">
        <v>150</v>
      </c>
    </row>
    <row r="317" spans="1:3" x14ac:dyDescent="0.2">
      <c r="B317">
        <v>710</v>
      </c>
      <c r="C317" s="9">
        <v>710</v>
      </c>
    </row>
    <row r="318" spans="1:3" x14ac:dyDescent="0.2">
      <c r="B318">
        <v>795</v>
      </c>
      <c r="C318" s="9">
        <v>795</v>
      </c>
    </row>
    <row r="319" spans="1:3" x14ac:dyDescent="0.2">
      <c r="B319">
        <v>815</v>
      </c>
      <c r="C319" s="9">
        <v>815</v>
      </c>
    </row>
    <row r="320" spans="1:3" x14ac:dyDescent="0.2">
      <c r="B320">
        <v>830</v>
      </c>
      <c r="C320" s="9">
        <v>830</v>
      </c>
    </row>
    <row r="321" spans="1:3" x14ac:dyDescent="0.2">
      <c r="B321">
        <v>875</v>
      </c>
      <c r="C321" s="9">
        <v>875</v>
      </c>
    </row>
    <row r="322" spans="1:3" x14ac:dyDescent="0.2">
      <c r="B322" t="s">
        <v>3</v>
      </c>
      <c r="C322" s="9"/>
    </row>
    <row r="323" spans="1:3" x14ac:dyDescent="0.2">
      <c r="A323" s="1" t="s">
        <v>61</v>
      </c>
      <c r="C323" s="9">
        <v>4205</v>
      </c>
    </row>
    <row r="324" spans="1:3" x14ac:dyDescent="0.2">
      <c r="A324" s="1">
        <v>45323</v>
      </c>
      <c r="B324">
        <v>15</v>
      </c>
      <c r="C324" s="9">
        <v>15</v>
      </c>
    </row>
    <row r="325" spans="1:3" x14ac:dyDescent="0.2">
      <c r="B325">
        <v>110</v>
      </c>
      <c r="C325" s="9">
        <v>110</v>
      </c>
    </row>
    <row r="326" spans="1:3" x14ac:dyDescent="0.2">
      <c r="B326">
        <v>500</v>
      </c>
      <c r="C326" s="9">
        <v>500</v>
      </c>
    </row>
    <row r="327" spans="1:3" x14ac:dyDescent="0.2">
      <c r="B327">
        <v>1145</v>
      </c>
      <c r="C327" s="9">
        <v>1145</v>
      </c>
    </row>
    <row r="328" spans="1:3" x14ac:dyDescent="0.2">
      <c r="B328" t="s">
        <v>3</v>
      </c>
      <c r="C328" s="9"/>
    </row>
    <row r="329" spans="1:3" x14ac:dyDescent="0.2">
      <c r="A329" s="1" t="s">
        <v>62</v>
      </c>
      <c r="C329" s="9">
        <v>1770</v>
      </c>
    </row>
    <row r="330" spans="1:3" x14ac:dyDescent="0.2">
      <c r="A330" s="1">
        <v>45324</v>
      </c>
      <c r="B330">
        <v>25</v>
      </c>
      <c r="C330" s="9">
        <v>25</v>
      </c>
    </row>
    <row r="331" spans="1:3" x14ac:dyDescent="0.2">
      <c r="B331">
        <v>570</v>
      </c>
      <c r="C331" s="9">
        <v>570</v>
      </c>
    </row>
    <row r="332" spans="1:3" x14ac:dyDescent="0.2">
      <c r="B332">
        <v>1420</v>
      </c>
      <c r="C332" s="9">
        <v>1420</v>
      </c>
    </row>
    <row r="333" spans="1:3" x14ac:dyDescent="0.2">
      <c r="B333" t="s">
        <v>3</v>
      </c>
      <c r="C333" s="9"/>
    </row>
    <row r="334" spans="1:3" x14ac:dyDescent="0.2">
      <c r="A334" s="1" t="s">
        <v>63</v>
      </c>
      <c r="C334" s="9">
        <v>2015</v>
      </c>
    </row>
    <row r="335" spans="1:3" x14ac:dyDescent="0.2">
      <c r="A335" s="1">
        <v>45325</v>
      </c>
      <c r="B335">
        <v>130</v>
      </c>
      <c r="C335" s="9">
        <v>130</v>
      </c>
    </row>
    <row r="336" spans="1:3" x14ac:dyDescent="0.2">
      <c r="B336">
        <v>250</v>
      </c>
      <c r="C336" s="9">
        <v>250</v>
      </c>
    </row>
    <row r="337" spans="1:3" x14ac:dyDescent="0.2">
      <c r="B337">
        <v>490</v>
      </c>
      <c r="C337" s="9">
        <v>490</v>
      </c>
    </row>
    <row r="338" spans="1:3" x14ac:dyDescent="0.2">
      <c r="B338">
        <v>515</v>
      </c>
      <c r="C338" s="9">
        <v>515</v>
      </c>
    </row>
    <row r="339" spans="1:3" x14ac:dyDescent="0.2">
      <c r="B339">
        <v>1315</v>
      </c>
      <c r="C339" s="9">
        <v>1315</v>
      </c>
    </row>
    <row r="340" spans="1:3" x14ac:dyDescent="0.2">
      <c r="A340" s="1" t="s">
        <v>64</v>
      </c>
      <c r="C340" s="9">
        <v>2700</v>
      </c>
    </row>
    <row r="341" spans="1:3" x14ac:dyDescent="0.2">
      <c r="A341" s="1">
        <v>45326</v>
      </c>
      <c r="B341">
        <v>80</v>
      </c>
      <c r="C341" s="9">
        <v>80</v>
      </c>
    </row>
    <row r="342" spans="1:3" x14ac:dyDescent="0.2">
      <c r="B342">
        <v>345</v>
      </c>
      <c r="C342" s="9">
        <v>345</v>
      </c>
    </row>
    <row r="343" spans="1:3" x14ac:dyDescent="0.2">
      <c r="B343">
        <v>745</v>
      </c>
      <c r="C343" s="9">
        <v>745</v>
      </c>
    </row>
    <row r="344" spans="1:3" x14ac:dyDescent="0.2">
      <c r="B344" t="s">
        <v>3</v>
      </c>
      <c r="C344" s="9"/>
    </row>
    <row r="345" spans="1:3" x14ac:dyDescent="0.2">
      <c r="A345" s="1" t="s">
        <v>65</v>
      </c>
      <c r="C345" s="9">
        <v>1170</v>
      </c>
    </row>
    <row r="346" spans="1:3" x14ac:dyDescent="0.2">
      <c r="A346" s="1">
        <v>45327</v>
      </c>
      <c r="B346">
        <v>370</v>
      </c>
      <c r="C346" s="9">
        <v>370</v>
      </c>
    </row>
    <row r="347" spans="1:3" x14ac:dyDescent="0.2">
      <c r="B347">
        <v>775</v>
      </c>
      <c r="C347" s="9">
        <v>775</v>
      </c>
    </row>
    <row r="348" spans="1:3" x14ac:dyDescent="0.2">
      <c r="B348" t="s">
        <v>3</v>
      </c>
      <c r="C348" s="9"/>
    </row>
    <row r="349" spans="1:3" x14ac:dyDescent="0.2">
      <c r="A349" s="1" t="s">
        <v>66</v>
      </c>
      <c r="C349" s="9">
        <v>1145</v>
      </c>
    </row>
    <row r="350" spans="1:3" x14ac:dyDescent="0.2">
      <c r="A350" s="1">
        <v>45329</v>
      </c>
      <c r="B350">
        <v>285</v>
      </c>
      <c r="C350" s="9">
        <v>285</v>
      </c>
    </row>
    <row r="351" spans="1:3" x14ac:dyDescent="0.2">
      <c r="B351">
        <v>380</v>
      </c>
      <c r="C351" s="9">
        <v>380</v>
      </c>
    </row>
    <row r="352" spans="1:3" x14ac:dyDescent="0.2">
      <c r="B352" t="s">
        <v>3</v>
      </c>
      <c r="C352" s="9"/>
    </row>
    <row r="353" spans="1:3" x14ac:dyDescent="0.2">
      <c r="A353" s="1" t="s">
        <v>67</v>
      </c>
      <c r="C353" s="9">
        <v>665</v>
      </c>
    </row>
    <row r="354" spans="1:3" x14ac:dyDescent="0.2">
      <c r="A354" s="1">
        <v>45330</v>
      </c>
      <c r="B354">
        <v>200</v>
      </c>
      <c r="C354" s="9">
        <v>200</v>
      </c>
    </row>
    <row r="355" spans="1:3" x14ac:dyDescent="0.2">
      <c r="B355">
        <v>765</v>
      </c>
      <c r="C355" s="9">
        <v>765</v>
      </c>
    </row>
    <row r="356" spans="1:3" x14ac:dyDescent="0.2">
      <c r="B356">
        <v>785</v>
      </c>
      <c r="C356" s="9">
        <v>785</v>
      </c>
    </row>
    <row r="357" spans="1:3" x14ac:dyDescent="0.2">
      <c r="B357">
        <v>955</v>
      </c>
      <c r="C357" s="9">
        <v>955</v>
      </c>
    </row>
    <row r="358" spans="1:3" x14ac:dyDescent="0.2">
      <c r="B358">
        <v>1315</v>
      </c>
      <c r="C358" s="9">
        <v>1315</v>
      </c>
    </row>
    <row r="359" spans="1:3" x14ac:dyDescent="0.2">
      <c r="B359" t="s">
        <v>3</v>
      </c>
      <c r="C359" s="9"/>
    </row>
    <row r="360" spans="1:3" x14ac:dyDescent="0.2">
      <c r="A360" s="1" t="s">
        <v>68</v>
      </c>
      <c r="C360" s="9">
        <v>4020</v>
      </c>
    </row>
    <row r="361" spans="1:3" x14ac:dyDescent="0.2">
      <c r="A361" s="1">
        <v>45331</v>
      </c>
      <c r="B361">
        <v>145</v>
      </c>
      <c r="C361" s="9">
        <v>145</v>
      </c>
    </row>
    <row r="362" spans="1:3" x14ac:dyDescent="0.2">
      <c r="B362">
        <v>590</v>
      </c>
      <c r="C362" s="9">
        <v>590</v>
      </c>
    </row>
    <row r="363" spans="1:3" x14ac:dyDescent="0.2">
      <c r="B363">
        <v>1080</v>
      </c>
      <c r="C363" s="9">
        <v>1080</v>
      </c>
    </row>
    <row r="364" spans="1:3" x14ac:dyDescent="0.2">
      <c r="B364" t="s">
        <v>3</v>
      </c>
      <c r="C364" s="9"/>
    </row>
    <row r="365" spans="1:3" x14ac:dyDescent="0.2">
      <c r="A365" s="1" t="s">
        <v>69</v>
      </c>
      <c r="C365" s="9">
        <v>1815</v>
      </c>
    </row>
    <row r="366" spans="1:3" x14ac:dyDescent="0.2">
      <c r="A366" s="1">
        <v>45332</v>
      </c>
      <c r="B366">
        <v>280</v>
      </c>
      <c r="C366" s="9">
        <v>280</v>
      </c>
    </row>
    <row r="367" spans="1:3" x14ac:dyDescent="0.2">
      <c r="B367">
        <v>335</v>
      </c>
      <c r="C367" s="9">
        <v>335</v>
      </c>
    </row>
    <row r="368" spans="1:3" x14ac:dyDescent="0.2">
      <c r="B368">
        <v>830</v>
      </c>
      <c r="C368" s="9">
        <v>830</v>
      </c>
    </row>
    <row r="369" spans="1:3" x14ac:dyDescent="0.2">
      <c r="B369" t="s">
        <v>3</v>
      </c>
      <c r="C369" s="9"/>
    </row>
    <row r="370" spans="1:3" x14ac:dyDescent="0.2">
      <c r="A370" s="1" t="s">
        <v>70</v>
      </c>
      <c r="C370" s="9">
        <v>1445</v>
      </c>
    </row>
    <row r="371" spans="1:3" x14ac:dyDescent="0.2">
      <c r="A371" s="1">
        <v>45333</v>
      </c>
      <c r="B371">
        <v>125</v>
      </c>
      <c r="C371" s="9">
        <v>125</v>
      </c>
    </row>
    <row r="372" spans="1:3" x14ac:dyDescent="0.2">
      <c r="B372">
        <v>140</v>
      </c>
      <c r="C372" s="9">
        <v>140</v>
      </c>
    </row>
    <row r="373" spans="1:3" x14ac:dyDescent="0.2">
      <c r="B373">
        <v>505</v>
      </c>
      <c r="C373" s="9">
        <v>505</v>
      </c>
    </row>
    <row r="374" spans="1:3" x14ac:dyDescent="0.2">
      <c r="B374">
        <v>730</v>
      </c>
      <c r="C374" s="9">
        <v>730</v>
      </c>
    </row>
    <row r="375" spans="1:3" x14ac:dyDescent="0.2">
      <c r="B375" t="s">
        <v>3</v>
      </c>
      <c r="C375" s="9"/>
    </row>
    <row r="376" spans="1:3" x14ac:dyDescent="0.2">
      <c r="A376" s="1" t="s">
        <v>71</v>
      </c>
      <c r="C376" s="9">
        <v>1500</v>
      </c>
    </row>
    <row r="377" spans="1:3" x14ac:dyDescent="0.2">
      <c r="A377" s="1">
        <v>45334</v>
      </c>
      <c r="B377">
        <v>455</v>
      </c>
      <c r="C377" s="9">
        <v>455</v>
      </c>
    </row>
    <row r="378" spans="1:3" x14ac:dyDescent="0.2">
      <c r="B378">
        <v>775</v>
      </c>
      <c r="C378" s="9">
        <v>775</v>
      </c>
    </row>
    <row r="379" spans="1:3" x14ac:dyDescent="0.2">
      <c r="B379">
        <v>1385</v>
      </c>
      <c r="C379" s="9">
        <v>1385</v>
      </c>
    </row>
    <row r="380" spans="1:3" x14ac:dyDescent="0.2">
      <c r="B380" t="s">
        <v>3</v>
      </c>
      <c r="C380" s="9"/>
    </row>
    <row r="381" spans="1:3" x14ac:dyDescent="0.2">
      <c r="A381" s="1" t="s">
        <v>72</v>
      </c>
      <c r="C381" s="9">
        <v>2615</v>
      </c>
    </row>
    <row r="382" spans="1:3" x14ac:dyDescent="0.2">
      <c r="A382" s="1">
        <v>45335</v>
      </c>
      <c r="B382">
        <v>530</v>
      </c>
      <c r="C382" s="9">
        <v>530</v>
      </c>
    </row>
    <row r="383" spans="1:3" x14ac:dyDescent="0.2">
      <c r="B383">
        <v>695</v>
      </c>
      <c r="C383" s="9">
        <v>695</v>
      </c>
    </row>
    <row r="384" spans="1:3" x14ac:dyDescent="0.2">
      <c r="B384">
        <v>775</v>
      </c>
      <c r="C384" s="9">
        <v>775</v>
      </c>
    </row>
    <row r="385" spans="1:3" x14ac:dyDescent="0.2">
      <c r="B385">
        <v>790</v>
      </c>
      <c r="C385" s="9">
        <v>790</v>
      </c>
    </row>
    <row r="386" spans="1:3" x14ac:dyDescent="0.2">
      <c r="B386">
        <v>965</v>
      </c>
      <c r="C386" s="9">
        <v>965</v>
      </c>
    </row>
    <row r="387" spans="1:3" x14ac:dyDescent="0.2">
      <c r="B387">
        <v>1140</v>
      </c>
      <c r="C387" s="9">
        <v>1140</v>
      </c>
    </row>
    <row r="388" spans="1:3" x14ac:dyDescent="0.2">
      <c r="B388" t="s">
        <v>3</v>
      </c>
      <c r="C388" s="9"/>
    </row>
    <row r="389" spans="1:3" x14ac:dyDescent="0.2">
      <c r="A389" s="1" t="s">
        <v>73</v>
      </c>
      <c r="C389" s="9">
        <v>4895</v>
      </c>
    </row>
    <row r="390" spans="1:3" x14ac:dyDescent="0.2">
      <c r="A390" s="1">
        <v>45336</v>
      </c>
      <c r="B390">
        <v>15</v>
      </c>
      <c r="C390" s="9">
        <v>15</v>
      </c>
    </row>
    <row r="391" spans="1:3" x14ac:dyDescent="0.2">
      <c r="B391">
        <v>195</v>
      </c>
      <c r="C391" s="9">
        <v>195</v>
      </c>
    </row>
    <row r="392" spans="1:3" x14ac:dyDescent="0.2">
      <c r="B392">
        <v>255</v>
      </c>
      <c r="C392" s="9">
        <v>255</v>
      </c>
    </row>
    <row r="393" spans="1:3" x14ac:dyDescent="0.2">
      <c r="B393">
        <v>440</v>
      </c>
      <c r="C393" s="9">
        <v>440</v>
      </c>
    </row>
    <row r="394" spans="1:3" x14ac:dyDescent="0.2">
      <c r="B394">
        <v>785</v>
      </c>
      <c r="C394" s="9">
        <v>785</v>
      </c>
    </row>
    <row r="395" spans="1:3" x14ac:dyDescent="0.2">
      <c r="B395">
        <v>1115</v>
      </c>
      <c r="C395" s="9">
        <v>1115</v>
      </c>
    </row>
    <row r="396" spans="1:3" x14ac:dyDescent="0.2">
      <c r="B396">
        <v>1615</v>
      </c>
      <c r="C396" s="9">
        <v>1615</v>
      </c>
    </row>
    <row r="397" spans="1:3" x14ac:dyDescent="0.2">
      <c r="A397" s="1" t="s">
        <v>74</v>
      </c>
      <c r="C397" s="9">
        <v>4420</v>
      </c>
    </row>
    <row r="398" spans="1:3" x14ac:dyDescent="0.2">
      <c r="A398" s="1">
        <v>45337</v>
      </c>
      <c r="B398">
        <v>175</v>
      </c>
      <c r="C398" s="9">
        <v>175</v>
      </c>
    </row>
    <row r="399" spans="1:3" x14ac:dyDescent="0.2">
      <c r="B399">
        <v>270</v>
      </c>
      <c r="C399" s="9">
        <v>270</v>
      </c>
    </row>
    <row r="400" spans="1:3" x14ac:dyDescent="0.2">
      <c r="B400">
        <v>765</v>
      </c>
      <c r="C400" s="9">
        <v>765</v>
      </c>
    </row>
    <row r="401" spans="1:3" x14ac:dyDescent="0.2">
      <c r="B401" t="s">
        <v>3</v>
      </c>
      <c r="C401" s="9"/>
    </row>
    <row r="402" spans="1:3" x14ac:dyDescent="0.2">
      <c r="A402" s="1" t="s">
        <v>75</v>
      </c>
      <c r="C402" s="9">
        <v>1210</v>
      </c>
    </row>
    <row r="403" spans="1:3" x14ac:dyDescent="0.2">
      <c r="A403" s="1">
        <v>45338</v>
      </c>
      <c r="B403">
        <v>85</v>
      </c>
      <c r="C403" s="9">
        <v>85</v>
      </c>
    </row>
    <row r="404" spans="1:3" x14ac:dyDescent="0.2">
      <c r="B404">
        <v>185</v>
      </c>
      <c r="C404" s="9">
        <v>185</v>
      </c>
    </row>
    <row r="405" spans="1:3" x14ac:dyDescent="0.2">
      <c r="B405">
        <v>525</v>
      </c>
      <c r="C405" s="9">
        <v>525</v>
      </c>
    </row>
    <row r="406" spans="1:3" x14ac:dyDescent="0.2">
      <c r="B406">
        <v>610</v>
      </c>
      <c r="C406" s="9">
        <v>610</v>
      </c>
    </row>
    <row r="407" spans="1:3" x14ac:dyDescent="0.2">
      <c r="B407">
        <v>710</v>
      </c>
      <c r="C407" s="9">
        <v>710</v>
      </c>
    </row>
    <row r="408" spans="1:3" x14ac:dyDescent="0.2">
      <c r="B408">
        <v>875</v>
      </c>
      <c r="C408" s="9">
        <v>875</v>
      </c>
    </row>
    <row r="409" spans="1:3" x14ac:dyDescent="0.2">
      <c r="B409">
        <v>1220</v>
      </c>
      <c r="C409" s="9">
        <v>1220</v>
      </c>
    </row>
    <row r="410" spans="1:3" x14ac:dyDescent="0.2">
      <c r="B410" t="s">
        <v>3</v>
      </c>
      <c r="C410" s="9"/>
    </row>
    <row r="411" spans="1:3" x14ac:dyDescent="0.2">
      <c r="A411" s="1" t="s">
        <v>76</v>
      </c>
      <c r="C411" s="9">
        <v>4210</v>
      </c>
    </row>
    <row r="412" spans="1:3" x14ac:dyDescent="0.2">
      <c r="A412" s="1">
        <v>45339</v>
      </c>
      <c r="B412">
        <v>865</v>
      </c>
      <c r="C412" s="9">
        <v>865</v>
      </c>
    </row>
    <row r="413" spans="1:3" x14ac:dyDescent="0.2">
      <c r="B413" t="s">
        <v>3</v>
      </c>
      <c r="C413" s="9"/>
    </row>
    <row r="414" spans="1:3" x14ac:dyDescent="0.2">
      <c r="A414" s="1" t="s">
        <v>77</v>
      </c>
      <c r="C414" s="9">
        <v>865</v>
      </c>
    </row>
    <row r="415" spans="1:3" x14ac:dyDescent="0.2">
      <c r="A415" s="1">
        <v>45340</v>
      </c>
      <c r="B415">
        <v>365</v>
      </c>
      <c r="C415" s="9">
        <v>365</v>
      </c>
    </row>
    <row r="416" spans="1:3" x14ac:dyDescent="0.2">
      <c r="B416">
        <v>390</v>
      </c>
      <c r="C416" s="9">
        <v>390</v>
      </c>
    </row>
    <row r="417" spans="1:3" x14ac:dyDescent="0.2">
      <c r="B417" t="s">
        <v>3</v>
      </c>
      <c r="C417" s="9"/>
    </row>
    <row r="418" spans="1:3" x14ac:dyDescent="0.2">
      <c r="A418" s="1" t="s">
        <v>78</v>
      </c>
      <c r="C418" s="9">
        <v>755</v>
      </c>
    </row>
    <row r="419" spans="1:3" x14ac:dyDescent="0.2">
      <c r="A419" s="1">
        <v>45341</v>
      </c>
      <c r="B419">
        <v>365</v>
      </c>
      <c r="C419" s="9">
        <v>365</v>
      </c>
    </row>
    <row r="420" spans="1:3" x14ac:dyDescent="0.2">
      <c r="B420">
        <v>420</v>
      </c>
      <c r="C420" s="9">
        <v>420</v>
      </c>
    </row>
    <row r="421" spans="1:3" x14ac:dyDescent="0.2">
      <c r="B421">
        <v>640</v>
      </c>
      <c r="C421" s="9">
        <v>640</v>
      </c>
    </row>
    <row r="422" spans="1:3" x14ac:dyDescent="0.2">
      <c r="B422" t="s">
        <v>3</v>
      </c>
      <c r="C422" s="9"/>
    </row>
    <row r="423" spans="1:3" x14ac:dyDescent="0.2">
      <c r="A423" s="1" t="s">
        <v>79</v>
      </c>
      <c r="C423" s="9">
        <v>1425</v>
      </c>
    </row>
    <row r="424" spans="1:3" x14ac:dyDescent="0.2">
      <c r="A424" s="1">
        <v>45342</v>
      </c>
      <c r="B424">
        <v>325</v>
      </c>
      <c r="C424" s="9">
        <v>325</v>
      </c>
    </row>
    <row r="425" spans="1:3" x14ac:dyDescent="0.2">
      <c r="B425" t="s">
        <v>3</v>
      </c>
      <c r="C425" s="9"/>
    </row>
    <row r="426" spans="1:3" x14ac:dyDescent="0.2">
      <c r="A426" s="1" t="s">
        <v>80</v>
      </c>
      <c r="C426" s="9">
        <v>325</v>
      </c>
    </row>
    <row r="427" spans="1:3" x14ac:dyDescent="0.2">
      <c r="A427" s="1">
        <v>45343</v>
      </c>
      <c r="B427">
        <v>270</v>
      </c>
      <c r="C427" s="9">
        <v>270</v>
      </c>
    </row>
    <row r="428" spans="1:3" x14ac:dyDescent="0.2">
      <c r="B428">
        <v>1300</v>
      </c>
      <c r="C428" s="9">
        <v>1300</v>
      </c>
    </row>
    <row r="429" spans="1:3" x14ac:dyDescent="0.2">
      <c r="A429" s="1" t="s">
        <v>81</v>
      </c>
      <c r="C429" s="9">
        <v>1570</v>
      </c>
    </row>
    <row r="430" spans="1:3" x14ac:dyDescent="0.2">
      <c r="A430" s="1">
        <v>45344</v>
      </c>
      <c r="B430">
        <v>185</v>
      </c>
      <c r="C430" s="9">
        <v>185</v>
      </c>
    </row>
    <row r="431" spans="1:3" x14ac:dyDescent="0.2">
      <c r="B431">
        <v>395</v>
      </c>
      <c r="C431" s="9">
        <v>395</v>
      </c>
    </row>
    <row r="432" spans="1:3" x14ac:dyDescent="0.2">
      <c r="B432">
        <v>415</v>
      </c>
      <c r="C432" s="9">
        <v>415</v>
      </c>
    </row>
    <row r="433" spans="1:3" x14ac:dyDescent="0.2">
      <c r="B433">
        <v>935</v>
      </c>
      <c r="C433" s="9">
        <v>935</v>
      </c>
    </row>
    <row r="434" spans="1:3" x14ac:dyDescent="0.2">
      <c r="B434">
        <v>975</v>
      </c>
      <c r="C434" s="9">
        <v>975</v>
      </c>
    </row>
    <row r="435" spans="1:3" x14ac:dyDescent="0.2">
      <c r="B435" t="s">
        <v>3</v>
      </c>
      <c r="C435" s="9"/>
    </row>
    <row r="436" spans="1:3" x14ac:dyDescent="0.2">
      <c r="A436" s="1" t="s">
        <v>82</v>
      </c>
      <c r="C436" s="9">
        <v>2905</v>
      </c>
    </row>
    <row r="437" spans="1:3" x14ac:dyDescent="0.2">
      <c r="A437" s="1">
        <v>45345</v>
      </c>
      <c r="B437">
        <v>10</v>
      </c>
      <c r="C437" s="9">
        <v>20</v>
      </c>
    </row>
    <row r="438" spans="1:3" x14ac:dyDescent="0.2">
      <c r="B438">
        <v>60</v>
      </c>
      <c r="C438" s="9">
        <v>60</v>
      </c>
    </row>
    <row r="439" spans="1:3" x14ac:dyDescent="0.2">
      <c r="B439">
        <v>570</v>
      </c>
      <c r="C439" s="9">
        <v>570</v>
      </c>
    </row>
    <row r="440" spans="1:3" x14ac:dyDescent="0.2">
      <c r="B440">
        <v>1550</v>
      </c>
      <c r="C440" s="9">
        <v>1550</v>
      </c>
    </row>
    <row r="441" spans="1:3" x14ac:dyDescent="0.2">
      <c r="A441" s="1" t="s">
        <v>83</v>
      </c>
      <c r="C441" s="9">
        <v>2200</v>
      </c>
    </row>
    <row r="442" spans="1:3" x14ac:dyDescent="0.2">
      <c r="A442" s="1">
        <v>45346</v>
      </c>
      <c r="B442">
        <v>370</v>
      </c>
      <c r="C442" s="9">
        <v>370</v>
      </c>
    </row>
    <row r="443" spans="1:3" x14ac:dyDescent="0.2">
      <c r="B443">
        <v>950</v>
      </c>
      <c r="C443" s="9">
        <v>950</v>
      </c>
    </row>
    <row r="444" spans="1:3" x14ac:dyDescent="0.2">
      <c r="B444">
        <v>1075</v>
      </c>
      <c r="C444" s="9">
        <v>1075</v>
      </c>
    </row>
    <row r="445" spans="1:3" x14ac:dyDescent="0.2">
      <c r="B445">
        <v>1490</v>
      </c>
      <c r="C445" s="9">
        <v>1490</v>
      </c>
    </row>
    <row r="446" spans="1:3" x14ac:dyDescent="0.2">
      <c r="B446" t="s">
        <v>3</v>
      </c>
      <c r="C446" s="9"/>
    </row>
    <row r="447" spans="1:3" x14ac:dyDescent="0.2">
      <c r="A447" s="1" t="s">
        <v>84</v>
      </c>
      <c r="C447" s="9">
        <v>3885</v>
      </c>
    </row>
    <row r="448" spans="1:3" x14ac:dyDescent="0.2">
      <c r="A448" s="1">
        <v>45347</v>
      </c>
      <c r="B448">
        <v>310</v>
      </c>
      <c r="C448" s="9">
        <v>310</v>
      </c>
    </row>
    <row r="449" spans="1:3" x14ac:dyDescent="0.2">
      <c r="A449" s="1" t="s">
        <v>85</v>
      </c>
      <c r="C449" s="9">
        <v>310</v>
      </c>
    </row>
    <row r="450" spans="1:3" x14ac:dyDescent="0.2">
      <c r="A450" s="1">
        <v>45348</v>
      </c>
      <c r="B450">
        <v>85</v>
      </c>
      <c r="C450" s="9">
        <v>85</v>
      </c>
    </row>
    <row r="451" spans="1:3" x14ac:dyDescent="0.2">
      <c r="B451">
        <v>315</v>
      </c>
      <c r="C451" s="9">
        <v>315</v>
      </c>
    </row>
    <row r="452" spans="1:3" x14ac:dyDescent="0.2">
      <c r="B452">
        <v>375</v>
      </c>
      <c r="C452" s="9">
        <v>375</v>
      </c>
    </row>
    <row r="453" spans="1:3" x14ac:dyDescent="0.2">
      <c r="B453">
        <v>750</v>
      </c>
      <c r="C453" s="9">
        <v>750</v>
      </c>
    </row>
    <row r="454" spans="1:3" x14ac:dyDescent="0.2">
      <c r="B454">
        <v>1010</v>
      </c>
      <c r="C454" s="9">
        <v>1010</v>
      </c>
    </row>
    <row r="455" spans="1:3" x14ac:dyDescent="0.2">
      <c r="B455" t="s">
        <v>3</v>
      </c>
      <c r="C455" s="9"/>
    </row>
    <row r="456" spans="1:3" x14ac:dyDescent="0.2">
      <c r="A456" s="1" t="s">
        <v>86</v>
      </c>
      <c r="C456" s="9">
        <v>2535</v>
      </c>
    </row>
    <row r="457" spans="1:3" x14ac:dyDescent="0.2">
      <c r="A457" s="1">
        <v>45349</v>
      </c>
      <c r="B457">
        <v>65</v>
      </c>
      <c r="C457" s="9">
        <v>65</v>
      </c>
    </row>
    <row r="458" spans="1:3" x14ac:dyDescent="0.2">
      <c r="B458">
        <v>180</v>
      </c>
      <c r="C458" s="9">
        <v>180</v>
      </c>
    </row>
    <row r="459" spans="1:3" x14ac:dyDescent="0.2">
      <c r="B459">
        <v>370</v>
      </c>
      <c r="C459" s="9">
        <v>370</v>
      </c>
    </row>
    <row r="460" spans="1:3" x14ac:dyDescent="0.2">
      <c r="B460">
        <v>480</v>
      </c>
      <c r="C460" s="9">
        <v>480</v>
      </c>
    </row>
    <row r="461" spans="1:3" x14ac:dyDescent="0.2">
      <c r="B461">
        <v>975</v>
      </c>
      <c r="C461" s="9">
        <v>975</v>
      </c>
    </row>
    <row r="462" spans="1:3" x14ac:dyDescent="0.2">
      <c r="B462" t="s">
        <v>3</v>
      </c>
      <c r="C462" s="9"/>
    </row>
    <row r="463" spans="1:3" x14ac:dyDescent="0.2">
      <c r="A463" s="1" t="s">
        <v>87</v>
      </c>
      <c r="C463" s="9">
        <v>2070</v>
      </c>
    </row>
    <row r="464" spans="1:3" x14ac:dyDescent="0.2">
      <c r="A464" s="1">
        <v>45350</v>
      </c>
      <c r="B464">
        <v>80</v>
      </c>
      <c r="C464" s="9">
        <v>80</v>
      </c>
    </row>
    <row r="465" spans="1:3" x14ac:dyDescent="0.2">
      <c r="B465">
        <v>355</v>
      </c>
      <c r="C465" s="9">
        <v>355</v>
      </c>
    </row>
    <row r="466" spans="1:3" x14ac:dyDescent="0.2">
      <c r="B466">
        <v>470</v>
      </c>
      <c r="C466" s="9">
        <v>470</v>
      </c>
    </row>
    <row r="467" spans="1:3" x14ac:dyDescent="0.2">
      <c r="B467">
        <v>1135</v>
      </c>
      <c r="C467" s="9">
        <v>1135</v>
      </c>
    </row>
    <row r="468" spans="1:3" x14ac:dyDescent="0.2">
      <c r="B468">
        <v>1790</v>
      </c>
      <c r="C468" s="9">
        <v>1790</v>
      </c>
    </row>
    <row r="469" spans="1:3" x14ac:dyDescent="0.2">
      <c r="B469" t="s">
        <v>3</v>
      </c>
      <c r="C469" s="9"/>
    </row>
    <row r="470" spans="1:3" x14ac:dyDescent="0.2">
      <c r="A470" s="1" t="s">
        <v>88</v>
      </c>
      <c r="C470" s="9">
        <v>3830</v>
      </c>
    </row>
    <row r="471" spans="1:3" x14ac:dyDescent="0.2">
      <c r="A471" s="1" t="s">
        <v>89</v>
      </c>
      <c r="C471" s="9">
        <v>213550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8D38-A2B6-47E2-8B7D-121CCF445BB3}">
  <dimension ref="B4:K20"/>
  <sheetViews>
    <sheetView workbookViewId="0">
      <selection activeCell="M19" sqref="M19"/>
    </sheetView>
  </sheetViews>
  <sheetFormatPr defaultRowHeight="15" x14ac:dyDescent="0.2"/>
  <cols>
    <col min="2" max="2" width="21.65625" bestFit="1" customWidth="1"/>
  </cols>
  <sheetData>
    <row r="4" spans="2:11" x14ac:dyDescent="0.2">
      <c r="B4" t="s">
        <v>90</v>
      </c>
      <c r="D4" s="10" t="s">
        <v>91</v>
      </c>
    </row>
    <row r="5" spans="2:11" x14ac:dyDescent="0.2">
      <c r="D5" t="s">
        <v>92</v>
      </c>
    </row>
    <row r="8" spans="2:11" x14ac:dyDescent="0.2">
      <c r="B8" s="11" t="s">
        <v>93</v>
      </c>
      <c r="C8" s="11"/>
      <c r="D8" s="11">
        <f>COUNTIFS(Sales[First Name],D4)</f>
        <v>7</v>
      </c>
    </row>
    <row r="9" spans="2:11" x14ac:dyDescent="0.2">
      <c r="B9" s="11" t="s">
        <v>94</v>
      </c>
      <c r="C9" s="11"/>
      <c r="D9" s="11">
        <f>SUMIFS(Sales[Purchase Amount],Sales[First Name],D4)</f>
        <v>2155</v>
      </c>
    </row>
    <row r="10" spans="2:11" x14ac:dyDescent="0.2">
      <c r="B10" s="11" t="s">
        <v>95</v>
      </c>
      <c r="C10" s="11"/>
      <c r="D10" s="11">
        <f>_xlfn.MAXIFS(Sales[Purchase Amount],Sales[First Name],D4)</f>
        <v>835</v>
      </c>
    </row>
    <row r="13" spans="2:11" x14ac:dyDescent="0.2">
      <c r="B13" t="s">
        <v>96</v>
      </c>
    </row>
    <row r="14" spans="2:11" x14ac:dyDescent="0.2">
      <c r="B14" t="str" cm="1">
        <f t="array" ref="B14:K20">_xlfn._xlws.FILTER(Sales[],Sales[First Name]=D4)</f>
        <v>TX00-04</v>
      </c>
      <c r="C14" t="str">
        <v>Subbarao</v>
      </c>
      <c r="D14" t="str">
        <v>Malladi</v>
      </c>
      <c r="E14" t="str">
        <v>smalladi@gmpg.org</v>
      </c>
      <c r="F14" t="str">
        <v>Engineer</v>
      </c>
      <c r="G14" t="str">
        <v>Spicy Special Slims</v>
      </c>
      <c r="H14" t="str">
        <v>In store</v>
      </c>
      <c r="I14">
        <v>45262</v>
      </c>
      <c r="J14">
        <v>0</v>
      </c>
      <c r="K14" t="str">
        <v>No</v>
      </c>
    </row>
    <row r="15" spans="2:11" x14ac:dyDescent="0.2">
      <c r="B15" t="str">
        <v>TX01-20</v>
      </c>
      <c r="C15" t="str">
        <v>Subbarao</v>
      </c>
      <c r="D15" t="str">
        <v>Malladi</v>
      </c>
      <c r="E15" t="str">
        <v>smalladi@gmpg.org</v>
      </c>
      <c r="F15" t="str">
        <v>Engineer</v>
      </c>
      <c r="G15" t="str">
        <v>Mint Chip Choco</v>
      </c>
      <c r="H15" t="str">
        <v>App</v>
      </c>
      <c r="I15">
        <v>45284</v>
      </c>
      <c r="J15">
        <v>0</v>
      </c>
      <c r="K15" t="str">
        <v>No</v>
      </c>
    </row>
    <row r="16" spans="2:11" x14ac:dyDescent="0.2">
      <c r="B16" t="str">
        <v>TX01-59</v>
      </c>
      <c r="C16" t="str">
        <v>Subbarao</v>
      </c>
      <c r="D16" t="str">
        <v>Malladi</v>
      </c>
      <c r="E16" t="str">
        <v>smalladi@gmpg.org</v>
      </c>
      <c r="F16" t="str">
        <v>Engineer</v>
      </c>
      <c r="G16" t="str">
        <v>Fruit &amp; Nut Bars</v>
      </c>
      <c r="H16" t="str">
        <v>In store</v>
      </c>
      <c r="I16">
        <v>45291</v>
      </c>
      <c r="J16">
        <v>190</v>
      </c>
      <c r="K16" t="str">
        <v>Yes</v>
      </c>
    </row>
    <row r="17" spans="2:11" x14ac:dyDescent="0.2">
      <c r="B17" t="str">
        <v>TX01-66</v>
      </c>
      <c r="C17" t="str">
        <v>Subbarao</v>
      </c>
      <c r="D17" t="str">
        <v>Malladi</v>
      </c>
      <c r="E17" t="str">
        <v>smalladi@gmpg.org</v>
      </c>
      <c r="F17" t="str">
        <v>Engineer</v>
      </c>
      <c r="G17" t="str">
        <v>Cherry Almond Fudge</v>
      </c>
      <c r="H17" t="str">
        <v>App</v>
      </c>
      <c r="I17">
        <v>45293</v>
      </c>
      <c r="J17">
        <v>835</v>
      </c>
      <c r="K17" t="str">
        <v>Yes</v>
      </c>
    </row>
    <row r="18" spans="2:11" x14ac:dyDescent="0.2">
      <c r="B18" t="str">
        <v>TX02-80</v>
      </c>
      <c r="C18" t="str">
        <v>Subbarao</v>
      </c>
      <c r="D18" t="str">
        <v>Malladi</v>
      </c>
      <c r="E18" t="str">
        <v>smalladi@gmpg.org</v>
      </c>
      <c r="F18" t="str">
        <v>Engineer</v>
      </c>
      <c r="G18" t="str">
        <v>Velvet Truffle Bites</v>
      </c>
      <c r="H18" t="str">
        <v>App</v>
      </c>
      <c r="I18">
        <v>45318</v>
      </c>
      <c r="J18">
        <v>0</v>
      </c>
      <c r="K18" t="str">
        <v>No</v>
      </c>
    </row>
    <row r="19" spans="2:11" x14ac:dyDescent="0.2">
      <c r="B19" t="str">
        <v>TX03-85</v>
      </c>
      <c r="C19" t="str">
        <v>Subbarao</v>
      </c>
      <c r="D19" t="str">
        <v>Malladi</v>
      </c>
      <c r="E19" t="str">
        <v>smalladi@gmpg.org</v>
      </c>
      <c r="F19" t="str">
        <v>Engineer</v>
      </c>
      <c r="G19" t="str">
        <v>50% Dark Bites</v>
      </c>
      <c r="H19" t="str">
        <v>Website</v>
      </c>
      <c r="I19">
        <v>45338</v>
      </c>
      <c r="J19">
        <v>710</v>
      </c>
      <c r="K19" t="str">
        <v>Yes</v>
      </c>
    </row>
    <row r="20" spans="2:11" x14ac:dyDescent="0.2">
      <c r="B20" t="str">
        <v>TX04-00</v>
      </c>
      <c r="C20" t="str">
        <v>Subbarao</v>
      </c>
      <c r="D20" t="str">
        <v>Malladi</v>
      </c>
      <c r="E20" t="str">
        <v>smalladi@gmpg.org</v>
      </c>
      <c r="F20" t="str">
        <v>Engineer</v>
      </c>
      <c r="G20" t="str">
        <v>Pistachio Cardamom Crunch</v>
      </c>
      <c r="H20" t="str">
        <v>App</v>
      </c>
      <c r="I20">
        <v>45341</v>
      </c>
      <c r="J20">
        <v>420</v>
      </c>
      <c r="K20" t="str"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E361-33B9-4066-8C5E-7E348406FD83}">
  <dimension ref="A1:E21"/>
  <sheetViews>
    <sheetView topLeftCell="A5" workbookViewId="0">
      <selection activeCell="D27" sqref="D27"/>
    </sheetView>
  </sheetViews>
  <sheetFormatPr defaultRowHeight="15" x14ac:dyDescent="0.2"/>
  <cols>
    <col min="1" max="1" width="18.29296875" style="3" bestFit="1" customWidth="1"/>
    <col min="2" max="2" width="20.71484375" style="3" customWidth="1"/>
    <col min="3" max="3" width="17.890625" style="3" bestFit="1" customWidth="1"/>
    <col min="4" max="4" width="24.078125" bestFit="1" customWidth="1"/>
    <col min="5" max="5" width="14.796875" bestFit="1" customWidth="1"/>
    <col min="6" max="17" width="3.2265625" bestFit="1" customWidth="1"/>
    <col min="18" max="145" width="4.4375" bestFit="1" customWidth="1"/>
    <col min="146" max="202" width="5.37890625" bestFit="1" customWidth="1"/>
    <col min="203" max="203" width="7.3984375" bestFit="1" customWidth="1"/>
    <col min="204" max="204" width="11.703125" bestFit="1" customWidth="1"/>
  </cols>
  <sheetData>
    <row r="1" spans="1:3" x14ac:dyDescent="0.2">
      <c r="A1" s="12" t="s">
        <v>97</v>
      </c>
      <c r="B1" s="3" t="s">
        <v>2</v>
      </c>
      <c r="C1" s="3" t="s">
        <v>98</v>
      </c>
    </row>
    <row r="2" spans="1:3" x14ac:dyDescent="0.2">
      <c r="A2" s="3" t="s">
        <v>99</v>
      </c>
      <c r="B2" s="13">
        <v>14575</v>
      </c>
      <c r="C2" s="13">
        <v>26</v>
      </c>
    </row>
    <row r="3" spans="1:3" x14ac:dyDescent="0.2">
      <c r="A3" s="3" t="s">
        <v>100</v>
      </c>
      <c r="B3" s="13">
        <v>56070</v>
      </c>
      <c r="C3" s="13">
        <v>105</v>
      </c>
    </row>
    <row r="4" spans="1:3" x14ac:dyDescent="0.2">
      <c r="A4" s="3" t="s">
        <v>101</v>
      </c>
      <c r="B4" s="13">
        <v>61835</v>
      </c>
      <c r="C4" s="13">
        <v>130</v>
      </c>
    </row>
    <row r="5" spans="1:3" x14ac:dyDescent="0.2">
      <c r="A5" s="3" t="s">
        <v>102</v>
      </c>
      <c r="B5" s="13">
        <v>81070</v>
      </c>
      <c r="C5" s="13">
        <v>182</v>
      </c>
    </row>
    <row r="6" spans="1:3" x14ac:dyDescent="0.2">
      <c r="A6" s="3" t="s">
        <v>89</v>
      </c>
      <c r="B6" s="13">
        <v>213550</v>
      </c>
      <c r="C6" s="13">
        <v>443</v>
      </c>
    </row>
    <row r="17" spans="1:5" x14ac:dyDescent="0.2">
      <c r="B17" s="3" t="s">
        <v>103</v>
      </c>
      <c r="C17" s="3" t="s">
        <v>104</v>
      </c>
      <c r="D17" t="s">
        <v>105</v>
      </c>
      <c r="E17" t="s">
        <v>106</v>
      </c>
    </row>
    <row r="18" spans="1:5" x14ac:dyDescent="0.2">
      <c r="A18" s="14" t="s">
        <v>99</v>
      </c>
      <c r="B18" s="3" cm="1">
        <f t="array" ref="B18:B21">SUMIFS(Sales[Purchase Amount],Sales[Purchase Mode],A18:A21)</f>
        <v>14575</v>
      </c>
      <c r="C18" s="3" cm="1">
        <f t="array" ref="C18:C21">COUNTIFS(Sales[Purchase Mode],A18:A21)</f>
        <v>26</v>
      </c>
      <c r="D18" cm="1">
        <f t="array" ref="D18:D21">COUNTIFS(Sales[Purchase Mode],A18:A21,Sales[Status],"Yes")</f>
        <v>19</v>
      </c>
      <c r="E18" cm="1">
        <f t="array" ref="E18:E21">(_xlfn.ANCHORARRAY(D18)/_xlfn.ANCHORARRAY(C18))*100</f>
        <v>73.076923076923066</v>
      </c>
    </row>
    <row r="19" spans="1:5" x14ac:dyDescent="0.2">
      <c r="A19" s="14" t="s">
        <v>100</v>
      </c>
      <c r="B19" s="3">
        <v>56070</v>
      </c>
      <c r="C19" s="3">
        <v>105</v>
      </c>
      <c r="D19">
        <v>80</v>
      </c>
      <c r="E19">
        <v>76.19047619047619</v>
      </c>
    </row>
    <row r="20" spans="1:5" x14ac:dyDescent="0.2">
      <c r="A20" s="14" t="s">
        <v>101</v>
      </c>
      <c r="B20" s="3">
        <v>61835</v>
      </c>
      <c r="C20" s="3">
        <v>130</v>
      </c>
      <c r="D20">
        <v>96</v>
      </c>
      <c r="E20">
        <v>73.846153846153854</v>
      </c>
    </row>
    <row r="21" spans="1:5" x14ac:dyDescent="0.2">
      <c r="A21" s="14" t="s">
        <v>102</v>
      </c>
      <c r="B21" s="3">
        <v>81070</v>
      </c>
      <c r="C21" s="3">
        <v>182</v>
      </c>
      <c r="D21">
        <v>131</v>
      </c>
      <c r="E21">
        <v>71.978021978021971</v>
      </c>
    </row>
  </sheetData>
  <conditionalFormatting sqref="B18:B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{A7DE017A-CA1C-49A0-99EA-A8D3BC67DEC8}</x14:id>
        </ext>
      </extLst>
    </cfRule>
  </conditionalFormatting>
  <conditionalFormatting sqref="C18:C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{CE15CA9D-25BD-453E-B926-B021954F88F4}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DE017A-CA1C-49A0-99EA-A8D3BC67DE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B18:B21</xm:sqref>
        </x14:conditionalFormatting>
        <x14:conditionalFormatting xmlns:xm="http://schemas.microsoft.com/office/excel/2006/main">
          <x14:cfRule type="dataBar" id="{CE15CA9D-25BD-453E-B926-B021954F88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C18:C21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45"/>
  <sheetViews>
    <sheetView workbookViewId="0">
      <selection activeCell="A2" sqref="A2:J445"/>
    </sheetView>
  </sheetViews>
  <sheetFormatPr defaultRowHeight="15" x14ac:dyDescent="0.2"/>
  <cols>
    <col min="1" max="1" width="9.953125" customWidth="1"/>
    <col min="2" max="2" width="14.9296875" customWidth="1"/>
    <col min="3" max="3" width="22.328125" bestFit="1" customWidth="1"/>
    <col min="4" max="4" width="38.875" bestFit="1" customWidth="1"/>
    <col min="5" max="5" width="19.234375" bestFit="1" customWidth="1"/>
    <col min="6" max="6" width="27.98046875" bestFit="1" customWidth="1"/>
    <col min="7" max="7" width="17.484375" bestFit="1" customWidth="1"/>
    <col min="8" max="8" width="10.0859375" bestFit="1" customWidth="1"/>
    <col min="9" max="9" width="19.37109375" style="6" bestFit="1" customWidth="1"/>
  </cols>
  <sheetData>
    <row r="2" spans="1:10" x14ac:dyDescent="0.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97</v>
      </c>
      <c r="H2" s="2" t="s">
        <v>0</v>
      </c>
      <c r="I2" s="5" t="s">
        <v>1</v>
      </c>
      <c r="J2" s="2" t="s">
        <v>113</v>
      </c>
    </row>
    <row r="3" spans="1:10" x14ac:dyDescent="0.2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119</v>
      </c>
      <c r="G3" s="3" t="s">
        <v>102</v>
      </c>
      <c r="H3" s="4">
        <v>45261</v>
      </c>
      <c r="I3" s="7"/>
      <c r="J3" s="3" t="str">
        <f>IF(Sales[[#This Row],[Purchase Amount]]&gt;0,"Yes","No")</f>
        <v>No</v>
      </c>
    </row>
    <row r="4" spans="1:10" x14ac:dyDescent="0.2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101</v>
      </c>
      <c r="H4" s="4">
        <v>45261</v>
      </c>
      <c r="I4" s="7"/>
      <c r="J4" s="3" t="str">
        <f>IF(Sales[[#This Row],[Purchase Amount]]&gt;0,"Yes","No")</f>
        <v>No</v>
      </c>
    </row>
    <row r="5" spans="1:10" x14ac:dyDescent="0.2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3" t="s">
        <v>102</v>
      </c>
      <c r="H5" s="4">
        <v>45261</v>
      </c>
      <c r="I5" s="7">
        <v>930</v>
      </c>
      <c r="J5" s="3" t="str">
        <f>IF(Sales[[#This Row],[Purchase Amount]]&gt;0,"Yes","No")</f>
        <v>Yes</v>
      </c>
    </row>
    <row r="6" spans="1:10" x14ac:dyDescent="0.2">
      <c r="A6" s="3" t="s">
        <v>132</v>
      </c>
      <c r="B6" s="3" t="s">
        <v>91</v>
      </c>
      <c r="C6" s="3" t="s">
        <v>133</v>
      </c>
      <c r="D6" s="3" t="s">
        <v>134</v>
      </c>
      <c r="E6" s="3" t="s">
        <v>135</v>
      </c>
      <c r="F6" s="3" t="s">
        <v>136</v>
      </c>
      <c r="G6" s="3" t="s">
        <v>100</v>
      </c>
      <c r="H6" s="4">
        <v>45262</v>
      </c>
      <c r="I6" s="7"/>
      <c r="J6" s="3" t="str">
        <f>IF(Sales[[#This Row],[Purchase Amount]]&gt;0,"Yes","No")</f>
        <v>No</v>
      </c>
    </row>
    <row r="7" spans="1:10" x14ac:dyDescent="0.2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135</v>
      </c>
      <c r="F7" s="3" t="s">
        <v>141</v>
      </c>
      <c r="G7" s="3" t="s">
        <v>100</v>
      </c>
      <c r="H7" s="4">
        <v>45262</v>
      </c>
      <c r="I7" s="7"/>
      <c r="J7" s="3" t="str">
        <f>IF(Sales[[#This Row],[Purchase Amount]]&gt;0,"Yes","No")</f>
        <v>No</v>
      </c>
    </row>
    <row r="8" spans="1:10" x14ac:dyDescent="0.2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130</v>
      </c>
      <c r="F8" s="3" t="s">
        <v>146</v>
      </c>
      <c r="G8" s="3" t="s">
        <v>102</v>
      </c>
      <c r="H8" s="4">
        <v>45262</v>
      </c>
      <c r="I8" s="7">
        <v>985</v>
      </c>
      <c r="J8" s="3" t="str">
        <f>IF(Sales[[#This Row],[Purchase Amount]]&gt;0,"Yes","No")</f>
        <v>Yes</v>
      </c>
    </row>
    <row r="9" spans="1:10" x14ac:dyDescent="0.2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3" t="s">
        <v>102</v>
      </c>
      <c r="H9" s="4">
        <v>45262</v>
      </c>
      <c r="I9" s="7">
        <v>835</v>
      </c>
      <c r="J9" s="3" t="str">
        <f>IF(Sales[[#This Row],[Purchase Amount]]&gt;0,"Yes","No")</f>
        <v>Yes</v>
      </c>
    </row>
    <row r="10" spans="1:10" x14ac:dyDescent="0.2">
      <c r="A10" s="3" t="s">
        <v>153</v>
      </c>
      <c r="B10" s="3" t="s">
        <v>154</v>
      </c>
      <c r="C10" s="3" t="s">
        <v>155</v>
      </c>
      <c r="D10" s="3" t="s">
        <v>156</v>
      </c>
      <c r="E10" s="3" t="s">
        <v>130</v>
      </c>
      <c r="F10" s="3" t="s">
        <v>157</v>
      </c>
      <c r="G10" s="3" t="s">
        <v>102</v>
      </c>
      <c r="H10" s="4">
        <v>45262</v>
      </c>
      <c r="I10" s="7">
        <v>535</v>
      </c>
      <c r="J10" s="3" t="str">
        <f>IF(Sales[[#This Row],[Purchase Amount]]&gt;0,"Yes","No")</f>
        <v>Yes</v>
      </c>
    </row>
    <row r="11" spans="1:10" x14ac:dyDescent="0.2">
      <c r="A11" s="3" t="s">
        <v>158</v>
      </c>
      <c r="B11" s="3" t="s">
        <v>159</v>
      </c>
      <c r="C11" s="3" t="s">
        <v>160</v>
      </c>
      <c r="D11" s="3" t="s">
        <v>161</v>
      </c>
      <c r="E11" s="3" t="s">
        <v>130</v>
      </c>
      <c r="F11" s="3" t="s">
        <v>162</v>
      </c>
      <c r="G11" s="3" t="s">
        <v>100</v>
      </c>
      <c r="H11" s="4">
        <v>45262</v>
      </c>
      <c r="I11" s="7">
        <v>455</v>
      </c>
      <c r="J11" s="3" t="str">
        <f>IF(Sales[[#This Row],[Purchase Amount]]&gt;0,"Yes","No")</f>
        <v>Yes</v>
      </c>
    </row>
    <row r="12" spans="1:10" x14ac:dyDescent="0.2">
      <c r="A12" s="3" t="s">
        <v>163</v>
      </c>
      <c r="B12" s="3" t="s">
        <v>164</v>
      </c>
      <c r="C12" s="3" t="s">
        <v>165</v>
      </c>
      <c r="D12" s="3" t="s">
        <v>166</v>
      </c>
      <c r="E12" s="3" t="s">
        <v>130</v>
      </c>
      <c r="F12" s="3" t="s">
        <v>167</v>
      </c>
      <c r="G12" s="3" t="s">
        <v>102</v>
      </c>
      <c r="H12" s="4">
        <v>45262</v>
      </c>
      <c r="I12" s="7">
        <v>500</v>
      </c>
      <c r="J12" s="3" t="str">
        <f>IF(Sales[[#This Row],[Purchase Amount]]&gt;0,"Yes","No")</f>
        <v>Yes</v>
      </c>
    </row>
    <row r="13" spans="1:10" x14ac:dyDescent="0.2">
      <c r="A13" s="3" t="s">
        <v>168</v>
      </c>
      <c r="B13" s="3" t="s">
        <v>169</v>
      </c>
      <c r="C13" s="3" t="s">
        <v>170</v>
      </c>
      <c r="D13" s="3" t="s">
        <v>171</v>
      </c>
      <c r="E13" s="3" t="s">
        <v>172</v>
      </c>
      <c r="F13" s="3" t="s">
        <v>173</v>
      </c>
      <c r="G13" s="3" t="s">
        <v>102</v>
      </c>
      <c r="H13" s="4">
        <v>45262</v>
      </c>
      <c r="I13" s="7">
        <v>390</v>
      </c>
      <c r="J13" s="3" t="str">
        <f>IF(Sales[[#This Row],[Purchase Amount]]&gt;0,"Yes","No")</f>
        <v>Yes</v>
      </c>
    </row>
    <row r="14" spans="1:10" x14ac:dyDescent="0.2">
      <c r="A14" s="3" t="s">
        <v>174</v>
      </c>
      <c r="B14" s="3" t="s">
        <v>175</v>
      </c>
      <c r="C14" s="3" t="s">
        <v>176</v>
      </c>
      <c r="D14" s="3" t="s">
        <v>177</v>
      </c>
      <c r="E14" s="3" t="s">
        <v>118</v>
      </c>
      <c r="F14" s="3" t="s">
        <v>178</v>
      </c>
      <c r="G14" s="3" t="s">
        <v>102</v>
      </c>
      <c r="H14" s="4">
        <v>45262</v>
      </c>
      <c r="I14" s="7">
        <v>440</v>
      </c>
      <c r="J14" s="3" t="str">
        <f>IF(Sales[[#This Row],[Purchase Amount]]&gt;0,"Yes","No")</f>
        <v>Yes</v>
      </c>
    </row>
    <row r="15" spans="1:10" x14ac:dyDescent="0.2">
      <c r="A15" s="3" t="s">
        <v>179</v>
      </c>
      <c r="B15" s="3" t="s">
        <v>180</v>
      </c>
      <c r="C15" s="3" t="s">
        <v>181</v>
      </c>
      <c r="D15" s="3" t="s">
        <v>182</v>
      </c>
      <c r="E15" s="3" t="s">
        <v>124</v>
      </c>
      <c r="F15" s="3" t="s">
        <v>183</v>
      </c>
      <c r="G15" s="3" t="s">
        <v>100</v>
      </c>
      <c r="H15" s="4">
        <v>45263</v>
      </c>
      <c r="I15" s="7">
        <v>585</v>
      </c>
      <c r="J15" s="3" t="str">
        <f>IF(Sales[[#This Row],[Purchase Amount]]&gt;0,"Yes","No")</f>
        <v>Yes</v>
      </c>
    </row>
    <row r="16" spans="1:10" x14ac:dyDescent="0.2">
      <c r="A16" s="3" t="s">
        <v>184</v>
      </c>
      <c r="B16" s="3" t="s">
        <v>185</v>
      </c>
      <c r="C16" s="3" t="s">
        <v>186</v>
      </c>
      <c r="D16" s="3" t="s">
        <v>187</v>
      </c>
      <c r="E16" s="3" t="s">
        <v>151</v>
      </c>
      <c r="F16" s="3" t="s">
        <v>157</v>
      </c>
      <c r="G16" s="3" t="s">
        <v>102</v>
      </c>
      <c r="H16" s="4">
        <v>45263</v>
      </c>
      <c r="I16" s="7">
        <v>895</v>
      </c>
      <c r="J16" s="3" t="str">
        <f>IF(Sales[[#This Row],[Purchase Amount]]&gt;0,"Yes","No")</f>
        <v>Yes</v>
      </c>
    </row>
    <row r="17" spans="1:10" x14ac:dyDescent="0.2">
      <c r="A17" s="3" t="s">
        <v>188</v>
      </c>
      <c r="B17" s="3" t="s">
        <v>189</v>
      </c>
      <c r="C17" s="3" t="s">
        <v>190</v>
      </c>
      <c r="D17" s="3" t="s">
        <v>191</v>
      </c>
      <c r="E17" s="3" t="s">
        <v>192</v>
      </c>
      <c r="F17" s="3" t="s">
        <v>193</v>
      </c>
      <c r="G17" s="3" t="s">
        <v>99</v>
      </c>
      <c r="H17" s="4">
        <v>45263</v>
      </c>
      <c r="I17" s="7">
        <v>980</v>
      </c>
      <c r="J17" s="3" t="str">
        <f>IF(Sales[[#This Row],[Purchase Amount]]&gt;0,"Yes","No")</f>
        <v>Yes</v>
      </c>
    </row>
    <row r="18" spans="1:10" x14ac:dyDescent="0.2">
      <c r="A18" s="3" t="s">
        <v>194</v>
      </c>
      <c r="B18" s="3" t="s">
        <v>195</v>
      </c>
      <c r="C18" s="3" t="s">
        <v>196</v>
      </c>
      <c r="D18" s="3" t="s">
        <v>197</v>
      </c>
      <c r="E18" s="3" t="s">
        <v>198</v>
      </c>
      <c r="F18" s="3" t="s">
        <v>199</v>
      </c>
      <c r="G18" s="3" t="s">
        <v>102</v>
      </c>
      <c r="H18" s="4">
        <v>45264</v>
      </c>
      <c r="I18" s="7"/>
      <c r="J18" s="3" t="str">
        <f>IF(Sales[[#This Row],[Purchase Amount]]&gt;0,"Yes","No")</f>
        <v>No</v>
      </c>
    </row>
    <row r="19" spans="1:10" x14ac:dyDescent="0.2">
      <c r="A19" s="3" t="s">
        <v>200</v>
      </c>
      <c r="B19" s="3" t="s">
        <v>164</v>
      </c>
      <c r="C19" s="3" t="s">
        <v>165</v>
      </c>
      <c r="D19" s="3" t="s">
        <v>166</v>
      </c>
      <c r="E19" s="3" t="s">
        <v>130</v>
      </c>
      <c r="F19" s="3" t="s">
        <v>193</v>
      </c>
      <c r="G19" s="3" t="s">
        <v>102</v>
      </c>
      <c r="H19" s="4">
        <v>45264</v>
      </c>
      <c r="I19" s="7">
        <v>765</v>
      </c>
      <c r="J19" s="3" t="str">
        <f>IF(Sales[[#This Row],[Purchase Amount]]&gt;0,"Yes","No")</f>
        <v>Yes</v>
      </c>
    </row>
    <row r="20" spans="1:10" x14ac:dyDescent="0.2">
      <c r="A20" s="3" t="s">
        <v>201</v>
      </c>
      <c r="B20" s="3" t="s">
        <v>202</v>
      </c>
      <c r="C20" s="3" t="s">
        <v>203</v>
      </c>
      <c r="D20" s="3" t="s">
        <v>204</v>
      </c>
      <c r="E20" s="3" t="s">
        <v>172</v>
      </c>
      <c r="F20" s="3" t="s">
        <v>205</v>
      </c>
      <c r="G20" s="3" t="s">
        <v>99</v>
      </c>
      <c r="H20" s="4">
        <v>45264</v>
      </c>
      <c r="I20" s="7">
        <v>1190</v>
      </c>
      <c r="J20" s="3" t="str">
        <f>IF(Sales[[#This Row],[Purchase Amount]]&gt;0,"Yes","No")</f>
        <v>Yes</v>
      </c>
    </row>
    <row r="21" spans="1:10" x14ac:dyDescent="0.2">
      <c r="A21" s="3" t="s">
        <v>206</v>
      </c>
      <c r="B21" s="3" t="s">
        <v>207</v>
      </c>
      <c r="C21" s="3" t="s">
        <v>208</v>
      </c>
      <c r="D21" s="3" t="s">
        <v>209</v>
      </c>
      <c r="E21" s="3" t="s">
        <v>210</v>
      </c>
      <c r="F21" s="3" t="s">
        <v>211</v>
      </c>
      <c r="G21" s="3" t="s">
        <v>101</v>
      </c>
      <c r="H21" s="4">
        <v>45264</v>
      </c>
      <c r="I21" s="7">
        <v>845</v>
      </c>
      <c r="J21" s="3" t="str">
        <f>IF(Sales[[#This Row],[Purchase Amount]]&gt;0,"Yes","No")</f>
        <v>Yes</v>
      </c>
    </row>
    <row r="22" spans="1:10" x14ac:dyDescent="0.2">
      <c r="A22" s="3" t="s">
        <v>212</v>
      </c>
      <c r="B22" s="3" t="s">
        <v>213</v>
      </c>
      <c r="C22" s="3" t="s">
        <v>214</v>
      </c>
      <c r="D22" s="3" t="s">
        <v>215</v>
      </c>
      <c r="E22" s="3" t="s">
        <v>124</v>
      </c>
      <c r="F22" s="3" t="s">
        <v>211</v>
      </c>
      <c r="G22" s="3" t="s">
        <v>101</v>
      </c>
      <c r="H22" s="4">
        <v>45264</v>
      </c>
      <c r="I22" s="7">
        <v>275</v>
      </c>
      <c r="J22" s="3" t="str">
        <f>IF(Sales[[#This Row],[Purchase Amount]]&gt;0,"Yes","No")</f>
        <v>Yes</v>
      </c>
    </row>
    <row r="23" spans="1:10" x14ac:dyDescent="0.2">
      <c r="A23" s="3" t="s">
        <v>216</v>
      </c>
      <c r="B23" s="3" t="s">
        <v>217</v>
      </c>
      <c r="C23" s="3" t="s">
        <v>218</v>
      </c>
      <c r="D23" s="3" t="s">
        <v>219</v>
      </c>
      <c r="E23" s="3" t="s">
        <v>135</v>
      </c>
      <c r="F23" s="3" t="s">
        <v>220</v>
      </c>
      <c r="G23" s="3" t="s">
        <v>99</v>
      </c>
      <c r="H23" s="4">
        <v>45264</v>
      </c>
      <c r="I23" s="7">
        <v>80</v>
      </c>
      <c r="J23" s="3" t="str">
        <f>IF(Sales[[#This Row],[Purchase Amount]]&gt;0,"Yes","No")</f>
        <v>Yes</v>
      </c>
    </row>
    <row r="24" spans="1:10" x14ac:dyDescent="0.2">
      <c r="A24" s="3" t="s">
        <v>221</v>
      </c>
      <c r="B24" s="3" t="s">
        <v>222</v>
      </c>
      <c r="C24" s="3" t="s">
        <v>223</v>
      </c>
      <c r="D24" s="3" t="s">
        <v>224</v>
      </c>
      <c r="E24" s="3" t="s">
        <v>172</v>
      </c>
      <c r="F24" s="3" t="s">
        <v>225</v>
      </c>
      <c r="G24" s="3" t="s">
        <v>102</v>
      </c>
      <c r="H24" s="4">
        <v>45264</v>
      </c>
      <c r="I24" s="7">
        <v>35</v>
      </c>
      <c r="J24" s="3" t="str">
        <f>IF(Sales[[#This Row],[Purchase Amount]]&gt;0,"Yes","No")</f>
        <v>Yes</v>
      </c>
    </row>
    <row r="25" spans="1:10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151</v>
      </c>
      <c r="F25" s="3" t="s">
        <v>205</v>
      </c>
      <c r="G25" s="3" t="s">
        <v>100</v>
      </c>
      <c r="H25" s="4">
        <v>45264</v>
      </c>
      <c r="I25" s="7">
        <v>820</v>
      </c>
      <c r="J25" s="3" t="str">
        <f>IF(Sales[[#This Row],[Purchase Amount]]&gt;0,"Yes","No")</f>
        <v>Yes</v>
      </c>
    </row>
    <row r="26" spans="1:10" x14ac:dyDescent="0.2">
      <c r="A26" s="3" t="s">
        <v>230</v>
      </c>
      <c r="B26" s="3" t="s">
        <v>148</v>
      </c>
      <c r="C26" s="3" t="s">
        <v>149</v>
      </c>
      <c r="D26" s="3" t="s">
        <v>150</v>
      </c>
      <c r="E26" s="3" t="s">
        <v>151</v>
      </c>
      <c r="F26" s="3" t="s">
        <v>231</v>
      </c>
      <c r="G26" s="3" t="s">
        <v>100</v>
      </c>
      <c r="H26" s="4">
        <v>45265</v>
      </c>
      <c r="I26" s="7"/>
      <c r="J26" s="3" t="str">
        <f>IF(Sales[[#This Row],[Purchase Amount]]&gt;0,"Yes","No")</f>
        <v>No</v>
      </c>
    </row>
    <row r="27" spans="1:10" x14ac:dyDescent="0.2">
      <c r="A27" s="3" t="s">
        <v>232</v>
      </c>
      <c r="B27" s="3" t="s">
        <v>169</v>
      </c>
      <c r="C27" s="3" t="s">
        <v>170</v>
      </c>
      <c r="D27" s="3" t="s">
        <v>171</v>
      </c>
      <c r="E27" s="3" t="s">
        <v>172</v>
      </c>
      <c r="F27" s="3" t="s">
        <v>162</v>
      </c>
      <c r="G27" s="3" t="s">
        <v>102</v>
      </c>
      <c r="H27" s="4">
        <v>45265</v>
      </c>
      <c r="I27" s="7"/>
      <c r="J27" s="3" t="str">
        <f>IF(Sales[[#This Row],[Purchase Amount]]&gt;0,"Yes","No")</f>
        <v>No</v>
      </c>
    </row>
    <row r="28" spans="1:10" x14ac:dyDescent="0.2">
      <c r="A28" s="3" t="s">
        <v>233</v>
      </c>
      <c r="B28" s="3" t="s">
        <v>234</v>
      </c>
      <c r="C28" s="3" t="s">
        <v>235</v>
      </c>
      <c r="D28" s="3" t="s">
        <v>236</v>
      </c>
      <c r="E28" s="3" t="s">
        <v>118</v>
      </c>
      <c r="F28" s="3" t="s">
        <v>152</v>
      </c>
      <c r="G28" s="3" t="s">
        <v>102</v>
      </c>
      <c r="H28" s="4">
        <v>45265</v>
      </c>
      <c r="I28" s="7"/>
      <c r="J28" s="3" t="str">
        <f>IF(Sales[[#This Row],[Purchase Amount]]&gt;0,"Yes","No")</f>
        <v>No</v>
      </c>
    </row>
    <row r="29" spans="1:10" x14ac:dyDescent="0.2">
      <c r="A29" s="3" t="s">
        <v>237</v>
      </c>
      <c r="B29" s="3" t="s">
        <v>175</v>
      </c>
      <c r="C29" s="3" t="s">
        <v>176</v>
      </c>
      <c r="D29" s="3" t="s">
        <v>177</v>
      </c>
      <c r="E29" s="3" t="s">
        <v>118</v>
      </c>
      <c r="F29" s="3" t="s">
        <v>157</v>
      </c>
      <c r="G29" s="3" t="s">
        <v>100</v>
      </c>
      <c r="H29" s="4">
        <v>45265</v>
      </c>
      <c r="I29" s="7">
        <v>95</v>
      </c>
      <c r="J29" s="3" t="str">
        <f>IF(Sales[[#This Row],[Purchase Amount]]&gt;0,"Yes","No")</f>
        <v>Yes</v>
      </c>
    </row>
    <row r="30" spans="1:10" x14ac:dyDescent="0.2">
      <c r="A30" s="3" t="s">
        <v>238</v>
      </c>
      <c r="B30" s="3" t="s">
        <v>227</v>
      </c>
      <c r="C30" s="3" t="s">
        <v>228</v>
      </c>
      <c r="D30" s="3" t="s">
        <v>229</v>
      </c>
      <c r="E30" s="3" t="s">
        <v>151</v>
      </c>
      <c r="F30" s="3" t="s">
        <v>239</v>
      </c>
      <c r="G30" s="3" t="s">
        <v>101</v>
      </c>
      <c r="H30" s="4">
        <v>45265</v>
      </c>
      <c r="I30" s="7">
        <v>290</v>
      </c>
      <c r="J30" s="3" t="str">
        <f>IF(Sales[[#This Row],[Purchase Amount]]&gt;0,"Yes","No")</f>
        <v>Yes</v>
      </c>
    </row>
    <row r="31" spans="1:10" x14ac:dyDescent="0.2">
      <c r="A31" s="3" t="s">
        <v>240</v>
      </c>
      <c r="B31" s="3" t="s">
        <v>241</v>
      </c>
      <c r="C31" s="3" t="s">
        <v>242</v>
      </c>
      <c r="D31" s="3" t="s">
        <v>243</v>
      </c>
      <c r="E31" s="3" t="s">
        <v>244</v>
      </c>
      <c r="F31" s="3" t="s">
        <v>245</v>
      </c>
      <c r="G31" s="3" t="s">
        <v>100</v>
      </c>
      <c r="H31" s="4">
        <v>45266</v>
      </c>
      <c r="I31" s="7"/>
      <c r="J31" s="3" t="str">
        <f>IF(Sales[[#This Row],[Purchase Amount]]&gt;0,"Yes","No")</f>
        <v>No</v>
      </c>
    </row>
    <row r="32" spans="1:10" x14ac:dyDescent="0.2">
      <c r="A32" s="3" t="s">
        <v>246</v>
      </c>
      <c r="B32" s="3" t="s">
        <v>247</v>
      </c>
      <c r="C32" s="3" t="s">
        <v>248</v>
      </c>
      <c r="D32" s="3" t="s">
        <v>249</v>
      </c>
      <c r="E32" s="3" t="s">
        <v>118</v>
      </c>
      <c r="F32" s="3" t="s">
        <v>250</v>
      </c>
      <c r="G32" s="3" t="s">
        <v>102</v>
      </c>
      <c r="H32" s="4">
        <v>45266</v>
      </c>
      <c r="I32" s="7">
        <v>1290</v>
      </c>
      <c r="J32" s="3" t="str">
        <f>IF(Sales[[#This Row],[Purchase Amount]]&gt;0,"Yes","No")</f>
        <v>Yes</v>
      </c>
    </row>
    <row r="33" spans="1:10" x14ac:dyDescent="0.2">
      <c r="A33" s="3" t="s">
        <v>251</v>
      </c>
      <c r="B33" s="3" t="s">
        <v>252</v>
      </c>
      <c r="C33" s="3" t="s">
        <v>253</v>
      </c>
      <c r="D33" s="3" t="s">
        <v>254</v>
      </c>
      <c r="E33" s="3" t="s">
        <v>210</v>
      </c>
      <c r="F33" s="3" t="s">
        <v>255</v>
      </c>
      <c r="G33" s="3" t="s">
        <v>102</v>
      </c>
      <c r="H33" s="4">
        <v>45266</v>
      </c>
      <c r="I33" s="7">
        <v>390</v>
      </c>
      <c r="J33" s="3" t="str">
        <f>IF(Sales[[#This Row],[Purchase Amount]]&gt;0,"Yes","No")</f>
        <v>Yes</v>
      </c>
    </row>
    <row r="34" spans="1:10" x14ac:dyDescent="0.2">
      <c r="A34" s="3" t="s">
        <v>256</v>
      </c>
      <c r="B34" s="3" t="s">
        <v>257</v>
      </c>
      <c r="C34" s="3" t="s">
        <v>258</v>
      </c>
      <c r="D34" s="3" t="s">
        <v>259</v>
      </c>
      <c r="E34" s="3" t="s">
        <v>244</v>
      </c>
      <c r="F34" s="3" t="s">
        <v>260</v>
      </c>
      <c r="G34" s="3" t="s">
        <v>101</v>
      </c>
      <c r="H34" s="4">
        <v>45266</v>
      </c>
      <c r="I34" s="7">
        <v>385</v>
      </c>
      <c r="J34" s="3" t="str">
        <f>IF(Sales[[#This Row],[Purchase Amount]]&gt;0,"Yes","No")</f>
        <v>Yes</v>
      </c>
    </row>
    <row r="35" spans="1:10" x14ac:dyDescent="0.2">
      <c r="A35" s="3" t="s">
        <v>261</v>
      </c>
      <c r="B35" s="3" t="s">
        <v>207</v>
      </c>
      <c r="C35" s="3" t="s">
        <v>208</v>
      </c>
      <c r="D35" s="3" t="s">
        <v>209</v>
      </c>
      <c r="E35" s="3" t="s">
        <v>210</v>
      </c>
      <c r="F35" s="3" t="s">
        <v>262</v>
      </c>
      <c r="G35" s="3" t="s">
        <v>102</v>
      </c>
      <c r="H35" s="4">
        <v>45266</v>
      </c>
      <c r="I35" s="7">
        <v>60</v>
      </c>
      <c r="J35" s="3" t="str">
        <f>IF(Sales[[#This Row],[Purchase Amount]]&gt;0,"Yes","No")</f>
        <v>Yes</v>
      </c>
    </row>
    <row r="36" spans="1:10" x14ac:dyDescent="0.2">
      <c r="A36" s="3" t="s">
        <v>263</v>
      </c>
      <c r="B36" s="3" t="s">
        <v>264</v>
      </c>
      <c r="C36" s="3" t="s">
        <v>265</v>
      </c>
      <c r="D36" s="3" t="s">
        <v>266</v>
      </c>
      <c r="E36" s="3" t="s">
        <v>192</v>
      </c>
      <c r="F36" s="3" t="s">
        <v>267</v>
      </c>
      <c r="G36" s="3" t="s">
        <v>101</v>
      </c>
      <c r="H36" s="4">
        <v>45266</v>
      </c>
      <c r="I36" s="7">
        <v>1580</v>
      </c>
      <c r="J36" s="3" t="str">
        <f>IF(Sales[[#This Row],[Purchase Amount]]&gt;0,"Yes","No")</f>
        <v>Yes</v>
      </c>
    </row>
    <row r="37" spans="1:10" x14ac:dyDescent="0.2">
      <c r="A37" s="3" t="s">
        <v>268</v>
      </c>
      <c r="B37" s="3" t="s">
        <v>269</v>
      </c>
      <c r="C37" s="3" t="s">
        <v>270</v>
      </c>
      <c r="D37" s="3" t="s">
        <v>271</v>
      </c>
      <c r="E37" s="3" t="s">
        <v>272</v>
      </c>
      <c r="F37" s="3" t="s">
        <v>273</v>
      </c>
      <c r="G37" s="3" t="s">
        <v>102</v>
      </c>
      <c r="H37" s="4">
        <v>45266</v>
      </c>
      <c r="I37" s="7">
        <v>695</v>
      </c>
      <c r="J37" s="3" t="str">
        <f>IF(Sales[[#This Row],[Purchase Amount]]&gt;0,"Yes","No")</f>
        <v>Yes</v>
      </c>
    </row>
    <row r="38" spans="1:10" x14ac:dyDescent="0.2">
      <c r="A38" s="3" t="s">
        <v>274</v>
      </c>
      <c r="B38" s="3" t="s">
        <v>252</v>
      </c>
      <c r="C38" s="3" t="s">
        <v>253</v>
      </c>
      <c r="D38" s="3" t="s">
        <v>254</v>
      </c>
      <c r="E38" s="3" t="s">
        <v>210</v>
      </c>
      <c r="F38" s="3" t="s">
        <v>275</v>
      </c>
      <c r="G38" s="3" t="s">
        <v>102</v>
      </c>
      <c r="H38" s="4">
        <v>45266</v>
      </c>
      <c r="I38" s="7">
        <v>940</v>
      </c>
      <c r="J38" s="3" t="str">
        <f>IF(Sales[[#This Row],[Purchase Amount]]&gt;0,"Yes","No")</f>
        <v>Yes</v>
      </c>
    </row>
    <row r="39" spans="1:10" x14ac:dyDescent="0.2">
      <c r="A39" s="3" t="s">
        <v>276</v>
      </c>
      <c r="B39" s="3" t="s">
        <v>277</v>
      </c>
      <c r="C39" s="3" t="s">
        <v>278</v>
      </c>
      <c r="D39" s="3" t="s">
        <v>279</v>
      </c>
      <c r="E39" s="3" t="s">
        <v>198</v>
      </c>
      <c r="F39" s="3" t="s">
        <v>280</v>
      </c>
      <c r="G39" s="3" t="s">
        <v>100</v>
      </c>
      <c r="H39" s="4">
        <v>45266</v>
      </c>
      <c r="I39" s="7">
        <v>1730</v>
      </c>
      <c r="J39" s="3" t="str">
        <f>IF(Sales[[#This Row],[Purchase Amount]]&gt;0,"Yes","No")</f>
        <v>Yes</v>
      </c>
    </row>
    <row r="40" spans="1:10" x14ac:dyDescent="0.2">
      <c r="A40" s="3" t="s">
        <v>281</v>
      </c>
      <c r="B40" s="3" t="s">
        <v>282</v>
      </c>
      <c r="C40" s="3" t="s">
        <v>283</v>
      </c>
      <c r="D40" s="3" t="s">
        <v>284</v>
      </c>
      <c r="E40" s="3" t="s">
        <v>124</v>
      </c>
      <c r="F40" s="3" t="s">
        <v>285</v>
      </c>
      <c r="G40" s="3" t="s">
        <v>102</v>
      </c>
      <c r="H40" s="4">
        <v>45268</v>
      </c>
      <c r="I40" s="7"/>
      <c r="J40" s="3" t="str">
        <f>IF(Sales[[#This Row],[Purchase Amount]]&gt;0,"Yes","No")</f>
        <v>No</v>
      </c>
    </row>
    <row r="41" spans="1:10" x14ac:dyDescent="0.2">
      <c r="A41" s="3" t="s">
        <v>286</v>
      </c>
      <c r="B41" s="3" t="s">
        <v>287</v>
      </c>
      <c r="C41" s="3" t="s">
        <v>288</v>
      </c>
      <c r="D41" s="3" t="s">
        <v>289</v>
      </c>
      <c r="E41" s="3" t="s">
        <v>151</v>
      </c>
      <c r="F41" s="3" t="s">
        <v>162</v>
      </c>
      <c r="G41" s="3" t="s">
        <v>102</v>
      </c>
      <c r="H41" s="4">
        <v>45268</v>
      </c>
      <c r="I41" s="7"/>
      <c r="J41" s="3" t="str">
        <f>IF(Sales[[#This Row],[Purchase Amount]]&gt;0,"Yes","No")</f>
        <v>No</v>
      </c>
    </row>
    <row r="42" spans="1:10" x14ac:dyDescent="0.2">
      <c r="A42" s="3" t="s">
        <v>290</v>
      </c>
      <c r="B42" s="3" t="s">
        <v>291</v>
      </c>
      <c r="C42" s="3" t="s">
        <v>292</v>
      </c>
      <c r="D42" s="3" t="s">
        <v>293</v>
      </c>
      <c r="E42" s="3" t="s">
        <v>210</v>
      </c>
      <c r="F42" s="3" t="s">
        <v>294</v>
      </c>
      <c r="G42" s="3" t="s">
        <v>101</v>
      </c>
      <c r="H42" s="4">
        <v>45268</v>
      </c>
      <c r="I42" s="7">
        <v>450</v>
      </c>
      <c r="J42" s="3" t="str">
        <f>IF(Sales[[#This Row],[Purchase Amount]]&gt;0,"Yes","No")</f>
        <v>Yes</v>
      </c>
    </row>
    <row r="43" spans="1:10" x14ac:dyDescent="0.2">
      <c r="A43" s="3" t="s">
        <v>295</v>
      </c>
      <c r="B43" s="3" t="s">
        <v>296</v>
      </c>
      <c r="C43" s="3" t="s">
        <v>297</v>
      </c>
      <c r="D43" s="3" t="s">
        <v>298</v>
      </c>
      <c r="E43" s="3" t="s">
        <v>135</v>
      </c>
      <c r="F43" s="3" t="s">
        <v>273</v>
      </c>
      <c r="G43" s="3" t="s">
        <v>101</v>
      </c>
      <c r="H43" s="4">
        <v>45268</v>
      </c>
      <c r="I43" s="7">
        <v>35</v>
      </c>
      <c r="J43" s="3" t="str">
        <f>IF(Sales[[#This Row],[Purchase Amount]]&gt;0,"Yes","No")</f>
        <v>Yes</v>
      </c>
    </row>
    <row r="44" spans="1:10" x14ac:dyDescent="0.2">
      <c r="A44" s="3" t="s">
        <v>299</v>
      </c>
      <c r="B44" s="3" t="s">
        <v>300</v>
      </c>
      <c r="C44" s="3" t="s">
        <v>301</v>
      </c>
      <c r="D44" s="3" t="s">
        <v>302</v>
      </c>
      <c r="E44" s="3" t="s">
        <v>198</v>
      </c>
      <c r="F44" s="3" t="s">
        <v>303</v>
      </c>
      <c r="G44" s="3" t="s">
        <v>102</v>
      </c>
      <c r="H44" s="4">
        <v>45268</v>
      </c>
      <c r="I44" s="7">
        <v>90</v>
      </c>
      <c r="J44" s="3" t="str">
        <f>IF(Sales[[#This Row],[Purchase Amount]]&gt;0,"Yes","No")</f>
        <v>Yes</v>
      </c>
    </row>
    <row r="45" spans="1:10" x14ac:dyDescent="0.2">
      <c r="A45" s="3" t="s">
        <v>304</v>
      </c>
      <c r="B45" s="3" t="s">
        <v>305</v>
      </c>
      <c r="C45" s="3" t="s">
        <v>306</v>
      </c>
      <c r="D45" s="3" t="s">
        <v>307</v>
      </c>
      <c r="E45" s="3" t="s">
        <v>130</v>
      </c>
      <c r="F45" s="3" t="s">
        <v>162</v>
      </c>
      <c r="G45" s="3" t="s">
        <v>101</v>
      </c>
      <c r="H45" s="4">
        <v>45268</v>
      </c>
      <c r="I45" s="7">
        <v>930</v>
      </c>
      <c r="J45" s="3" t="str">
        <f>IF(Sales[[#This Row],[Purchase Amount]]&gt;0,"Yes","No")</f>
        <v>Yes</v>
      </c>
    </row>
    <row r="46" spans="1:10" x14ac:dyDescent="0.2">
      <c r="A46" s="3" t="s">
        <v>308</v>
      </c>
      <c r="B46" s="3" t="s">
        <v>227</v>
      </c>
      <c r="C46" s="3" t="s">
        <v>228</v>
      </c>
      <c r="D46" s="3" t="s">
        <v>229</v>
      </c>
      <c r="E46" s="3" t="s">
        <v>151</v>
      </c>
      <c r="F46" s="3" t="s">
        <v>309</v>
      </c>
      <c r="G46" s="3" t="s">
        <v>102</v>
      </c>
      <c r="H46" s="4">
        <v>45268</v>
      </c>
      <c r="I46" s="7">
        <v>990</v>
      </c>
      <c r="J46" s="3" t="str">
        <f>IF(Sales[[#This Row],[Purchase Amount]]&gt;0,"Yes","No")</f>
        <v>Yes</v>
      </c>
    </row>
    <row r="47" spans="1:10" x14ac:dyDescent="0.2">
      <c r="A47" s="3" t="s">
        <v>310</v>
      </c>
      <c r="B47" s="3" t="s">
        <v>217</v>
      </c>
      <c r="C47" s="3" t="s">
        <v>218</v>
      </c>
      <c r="D47" s="3" t="s">
        <v>219</v>
      </c>
      <c r="E47" s="3" t="s">
        <v>135</v>
      </c>
      <c r="F47" s="3" t="s">
        <v>193</v>
      </c>
      <c r="G47" s="3" t="s">
        <v>101</v>
      </c>
      <c r="H47" s="4">
        <v>45269</v>
      </c>
      <c r="I47" s="7"/>
      <c r="J47" s="3" t="str">
        <f>IF(Sales[[#This Row],[Purchase Amount]]&gt;0,"Yes","No")</f>
        <v>No</v>
      </c>
    </row>
    <row r="48" spans="1:10" x14ac:dyDescent="0.2">
      <c r="A48" s="3" t="s">
        <v>311</v>
      </c>
      <c r="B48" s="3" t="s">
        <v>312</v>
      </c>
      <c r="C48" s="3" t="s">
        <v>313</v>
      </c>
      <c r="D48" s="3" t="s">
        <v>314</v>
      </c>
      <c r="E48" s="3" t="s">
        <v>135</v>
      </c>
      <c r="F48" s="3" t="s">
        <v>260</v>
      </c>
      <c r="G48" s="3" t="s">
        <v>101</v>
      </c>
      <c r="H48" s="4">
        <v>45269</v>
      </c>
      <c r="I48" s="7"/>
      <c r="J48" s="3" t="str">
        <f>IF(Sales[[#This Row],[Purchase Amount]]&gt;0,"Yes","No")</f>
        <v>No</v>
      </c>
    </row>
    <row r="49" spans="1:10" x14ac:dyDescent="0.2">
      <c r="A49" s="3" t="s">
        <v>315</v>
      </c>
      <c r="B49" s="3" t="s">
        <v>316</v>
      </c>
      <c r="C49" s="3" t="s">
        <v>317</v>
      </c>
      <c r="D49" s="3" t="s">
        <v>318</v>
      </c>
      <c r="E49" s="3" t="s">
        <v>319</v>
      </c>
      <c r="F49" s="3" t="s">
        <v>320</v>
      </c>
      <c r="G49" s="3" t="s">
        <v>102</v>
      </c>
      <c r="H49" s="4">
        <v>45269</v>
      </c>
      <c r="I49" s="7">
        <v>20</v>
      </c>
      <c r="J49" s="3" t="str">
        <f>IF(Sales[[#This Row],[Purchase Amount]]&gt;0,"Yes","No")</f>
        <v>Yes</v>
      </c>
    </row>
    <row r="50" spans="1:10" x14ac:dyDescent="0.2">
      <c r="A50" s="3" t="s">
        <v>321</v>
      </c>
      <c r="B50" s="3" t="s">
        <v>322</v>
      </c>
      <c r="C50" s="3" t="s">
        <v>323</v>
      </c>
      <c r="D50" s="3" t="s">
        <v>324</v>
      </c>
      <c r="E50" s="3" t="s">
        <v>198</v>
      </c>
      <c r="F50" s="3" t="s">
        <v>325</v>
      </c>
      <c r="G50" s="3" t="s">
        <v>101</v>
      </c>
      <c r="H50" s="4">
        <v>45269</v>
      </c>
      <c r="I50" s="7">
        <v>890</v>
      </c>
      <c r="J50" s="3" t="str">
        <f>IF(Sales[[#This Row],[Purchase Amount]]&gt;0,"Yes","No")</f>
        <v>Yes</v>
      </c>
    </row>
    <row r="51" spans="1:10" x14ac:dyDescent="0.2">
      <c r="A51" s="3" t="s">
        <v>326</v>
      </c>
      <c r="B51" s="3" t="s">
        <v>327</v>
      </c>
      <c r="C51" s="3" t="s">
        <v>328</v>
      </c>
      <c r="D51" s="3" t="s">
        <v>329</v>
      </c>
      <c r="E51" s="3" t="s">
        <v>135</v>
      </c>
      <c r="F51" s="3" t="s">
        <v>330</v>
      </c>
      <c r="G51" s="3" t="s">
        <v>100</v>
      </c>
      <c r="H51" s="4">
        <v>45269</v>
      </c>
      <c r="I51" s="7">
        <v>915</v>
      </c>
      <c r="J51" s="3" t="str">
        <f>IF(Sales[[#This Row],[Purchase Amount]]&gt;0,"Yes","No")</f>
        <v>Yes</v>
      </c>
    </row>
    <row r="52" spans="1:10" x14ac:dyDescent="0.2">
      <c r="A52" s="3" t="s">
        <v>331</v>
      </c>
      <c r="B52" s="3" t="s">
        <v>332</v>
      </c>
      <c r="C52" s="3" t="s">
        <v>333</v>
      </c>
      <c r="D52" s="3" t="s">
        <v>334</v>
      </c>
      <c r="E52" s="3" t="s">
        <v>335</v>
      </c>
      <c r="F52" s="3" t="s">
        <v>336</v>
      </c>
      <c r="G52" s="3" t="s">
        <v>101</v>
      </c>
      <c r="H52" s="4">
        <v>45269</v>
      </c>
      <c r="I52" s="7">
        <v>365</v>
      </c>
      <c r="J52" s="3" t="str">
        <f>IF(Sales[[#This Row],[Purchase Amount]]&gt;0,"Yes","No")</f>
        <v>Yes</v>
      </c>
    </row>
    <row r="53" spans="1:10" x14ac:dyDescent="0.2">
      <c r="A53" s="3" t="s">
        <v>337</v>
      </c>
      <c r="B53" s="3" t="s">
        <v>338</v>
      </c>
      <c r="C53" s="3" t="s">
        <v>339</v>
      </c>
      <c r="D53" s="3" t="s">
        <v>340</v>
      </c>
      <c r="E53" s="3" t="s">
        <v>172</v>
      </c>
      <c r="F53" s="3" t="s">
        <v>341</v>
      </c>
      <c r="G53" s="3" t="s">
        <v>102</v>
      </c>
      <c r="H53" s="4">
        <v>45269</v>
      </c>
      <c r="I53" s="7">
        <v>445</v>
      </c>
      <c r="J53" s="3" t="str">
        <f>IF(Sales[[#This Row],[Purchase Amount]]&gt;0,"Yes","No")</f>
        <v>Yes</v>
      </c>
    </row>
    <row r="54" spans="1:10" x14ac:dyDescent="0.2">
      <c r="A54" s="3" t="s">
        <v>342</v>
      </c>
      <c r="B54" s="3" t="s">
        <v>343</v>
      </c>
      <c r="C54" s="3" t="s">
        <v>344</v>
      </c>
      <c r="D54" s="3" t="s">
        <v>345</v>
      </c>
      <c r="E54" s="3" t="s">
        <v>124</v>
      </c>
      <c r="F54" s="3" t="s">
        <v>173</v>
      </c>
      <c r="G54" s="3" t="s">
        <v>102</v>
      </c>
      <c r="H54" s="4">
        <v>45270</v>
      </c>
      <c r="I54" s="7">
        <v>160</v>
      </c>
      <c r="J54" s="3" t="str">
        <f>IF(Sales[[#This Row],[Purchase Amount]]&gt;0,"Yes","No")</f>
        <v>Yes</v>
      </c>
    </row>
    <row r="55" spans="1:10" x14ac:dyDescent="0.2">
      <c r="A55" s="3" t="s">
        <v>346</v>
      </c>
      <c r="B55" s="3" t="s">
        <v>252</v>
      </c>
      <c r="C55" s="3" t="s">
        <v>253</v>
      </c>
      <c r="D55" s="3" t="s">
        <v>254</v>
      </c>
      <c r="E55" s="3" t="s">
        <v>210</v>
      </c>
      <c r="F55" s="3" t="s">
        <v>146</v>
      </c>
      <c r="G55" s="3" t="s">
        <v>102</v>
      </c>
      <c r="H55" s="4">
        <v>45271</v>
      </c>
      <c r="I55" s="7"/>
      <c r="J55" s="3" t="str">
        <f>IF(Sales[[#This Row],[Purchase Amount]]&gt;0,"Yes","No")</f>
        <v>No</v>
      </c>
    </row>
    <row r="56" spans="1:10" x14ac:dyDescent="0.2">
      <c r="A56" s="3" t="s">
        <v>347</v>
      </c>
      <c r="B56" s="3" t="s">
        <v>217</v>
      </c>
      <c r="C56" s="3" t="s">
        <v>218</v>
      </c>
      <c r="D56" s="3" t="s">
        <v>219</v>
      </c>
      <c r="E56" s="3" t="s">
        <v>135</v>
      </c>
      <c r="F56" s="3" t="s">
        <v>267</v>
      </c>
      <c r="G56" s="3" t="s">
        <v>101</v>
      </c>
      <c r="H56" s="4">
        <v>45271</v>
      </c>
      <c r="I56" s="7">
        <v>195</v>
      </c>
      <c r="J56" s="3" t="str">
        <f>IF(Sales[[#This Row],[Purchase Amount]]&gt;0,"Yes","No")</f>
        <v>Yes</v>
      </c>
    </row>
    <row r="57" spans="1:10" x14ac:dyDescent="0.2">
      <c r="A57" s="3" t="s">
        <v>348</v>
      </c>
      <c r="B57" s="3" t="s">
        <v>349</v>
      </c>
      <c r="C57" s="3" t="s">
        <v>350</v>
      </c>
      <c r="D57" s="3" t="s">
        <v>351</v>
      </c>
      <c r="E57" s="3" t="s">
        <v>135</v>
      </c>
      <c r="F57" s="3" t="s">
        <v>225</v>
      </c>
      <c r="G57" s="3" t="s">
        <v>102</v>
      </c>
      <c r="H57" s="4">
        <v>45271</v>
      </c>
      <c r="I57" s="7">
        <v>1000</v>
      </c>
      <c r="J57" s="3" t="str">
        <f>IF(Sales[[#This Row],[Purchase Amount]]&gt;0,"Yes","No")</f>
        <v>Yes</v>
      </c>
    </row>
    <row r="58" spans="1:10" x14ac:dyDescent="0.2">
      <c r="A58" s="3" t="s">
        <v>352</v>
      </c>
      <c r="B58" s="3" t="s">
        <v>353</v>
      </c>
      <c r="C58" s="3" t="s">
        <v>354</v>
      </c>
      <c r="D58" s="3" t="s">
        <v>355</v>
      </c>
      <c r="E58" s="3" t="s">
        <v>151</v>
      </c>
      <c r="F58" s="3" t="s">
        <v>356</v>
      </c>
      <c r="G58" s="3" t="s">
        <v>101</v>
      </c>
      <c r="H58" s="4">
        <v>45272</v>
      </c>
      <c r="I58" s="7"/>
      <c r="J58" s="3" t="str">
        <f>IF(Sales[[#This Row],[Purchase Amount]]&gt;0,"Yes","No")</f>
        <v>No</v>
      </c>
    </row>
    <row r="59" spans="1:10" x14ac:dyDescent="0.2">
      <c r="A59" s="3" t="s">
        <v>357</v>
      </c>
      <c r="B59" s="3" t="s">
        <v>358</v>
      </c>
      <c r="C59" s="3" t="s">
        <v>359</v>
      </c>
      <c r="D59" s="3" t="s">
        <v>360</v>
      </c>
      <c r="E59" s="3" t="s">
        <v>335</v>
      </c>
      <c r="F59" s="3" t="s">
        <v>173</v>
      </c>
      <c r="G59" s="3" t="s">
        <v>102</v>
      </c>
      <c r="H59" s="4">
        <v>45272</v>
      </c>
      <c r="I59" s="7"/>
      <c r="J59" s="3" t="str">
        <f>IF(Sales[[#This Row],[Purchase Amount]]&gt;0,"Yes","No")</f>
        <v>No</v>
      </c>
    </row>
    <row r="60" spans="1:10" x14ac:dyDescent="0.2">
      <c r="A60" s="3" t="s">
        <v>361</v>
      </c>
      <c r="B60" s="3" t="s">
        <v>362</v>
      </c>
      <c r="C60" s="3" t="s">
        <v>363</v>
      </c>
      <c r="D60" s="3" t="s">
        <v>364</v>
      </c>
      <c r="E60" s="3" t="s">
        <v>130</v>
      </c>
      <c r="F60" s="3" t="s">
        <v>365</v>
      </c>
      <c r="G60" s="3" t="s">
        <v>102</v>
      </c>
      <c r="H60" s="4">
        <v>45272</v>
      </c>
      <c r="I60" s="7"/>
      <c r="J60" s="3" t="str">
        <f>IF(Sales[[#This Row],[Purchase Amount]]&gt;0,"Yes","No")</f>
        <v>No</v>
      </c>
    </row>
    <row r="61" spans="1:10" x14ac:dyDescent="0.2">
      <c r="A61" s="3" t="s">
        <v>366</v>
      </c>
      <c r="B61" s="3" t="s">
        <v>367</v>
      </c>
      <c r="C61" s="3" t="s">
        <v>368</v>
      </c>
      <c r="D61" s="3" t="s">
        <v>369</v>
      </c>
      <c r="E61" s="3" t="s">
        <v>135</v>
      </c>
      <c r="F61" s="3" t="s">
        <v>146</v>
      </c>
      <c r="G61" s="3" t="s">
        <v>102</v>
      </c>
      <c r="H61" s="4">
        <v>45272</v>
      </c>
      <c r="I61" s="7">
        <v>185</v>
      </c>
      <c r="J61" s="3" t="str">
        <f>IF(Sales[[#This Row],[Purchase Amount]]&gt;0,"Yes","No")</f>
        <v>Yes</v>
      </c>
    </row>
    <row r="62" spans="1:10" x14ac:dyDescent="0.2">
      <c r="A62" s="3" t="s">
        <v>370</v>
      </c>
      <c r="B62" s="3" t="s">
        <v>371</v>
      </c>
      <c r="C62" s="3" t="s">
        <v>372</v>
      </c>
      <c r="D62" s="3" t="s">
        <v>373</v>
      </c>
      <c r="E62" s="3" t="s">
        <v>374</v>
      </c>
      <c r="F62" s="3" t="s">
        <v>157</v>
      </c>
      <c r="G62" s="3" t="s">
        <v>102</v>
      </c>
      <c r="H62" s="4">
        <v>45272</v>
      </c>
      <c r="I62" s="7">
        <v>545</v>
      </c>
      <c r="J62" s="3" t="str">
        <f>IF(Sales[[#This Row],[Purchase Amount]]&gt;0,"Yes","No")</f>
        <v>Yes</v>
      </c>
    </row>
    <row r="63" spans="1:10" x14ac:dyDescent="0.2">
      <c r="A63" s="3" t="s">
        <v>375</v>
      </c>
      <c r="B63" s="3" t="s">
        <v>287</v>
      </c>
      <c r="C63" s="3" t="s">
        <v>288</v>
      </c>
      <c r="D63" s="3" t="s">
        <v>289</v>
      </c>
      <c r="E63" s="3" t="s">
        <v>151</v>
      </c>
      <c r="F63" s="3" t="s">
        <v>320</v>
      </c>
      <c r="G63" s="3" t="s">
        <v>102</v>
      </c>
      <c r="H63" s="4">
        <v>45272</v>
      </c>
      <c r="I63" s="7">
        <v>1095</v>
      </c>
      <c r="J63" s="3" t="str">
        <f>IF(Sales[[#This Row],[Purchase Amount]]&gt;0,"Yes","No")</f>
        <v>Yes</v>
      </c>
    </row>
    <row r="64" spans="1:10" x14ac:dyDescent="0.2">
      <c r="A64" s="3" t="s">
        <v>376</v>
      </c>
      <c r="B64" s="3" t="s">
        <v>377</v>
      </c>
      <c r="C64" s="3" t="s">
        <v>378</v>
      </c>
      <c r="D64" s="3" t="s">
        <v>379</v>
      </c>
      <c r="E64" s="3" t="s">
        <v>151</v>
      </c>
      <c r="F64" s="3" t="s">
        <v>152</v>
      </c>
      <c r="G64" s="3" t="s">
        <v>100</v>
      </c>
      <c r="H64" s="4">
        <v>45272</v>
      </c>
      <c r="I64" s="7">
        <v>570</v>
      </c>
      <c r="J64" s="3" t="str">
        <f>IF(Sales[[#This Row],[Purchase Amount]]&gt;0,"Yes","No")</f>
        <v>Yes</v>
      </c>
    </row>
    <row r="65" spans="1:10" x14ac:dyDescent="0.2">
      <c r="A65" s="3" t="s">
        <v>380</v>
      </c>
      <c r="B65" s="3" t="s">
        <v>381</v>
      </c>
      <c r="C65" s="3" t="s">
        <v>382</v>
      </c>
      <c r="D65" s="3" t="s">
        <v>383</v>
      </c>
      <c r="E65" s="3" t="s">
        <v>151</v>
      </c>
      <c r="F65" s="3" t="s">
        <v>205</v>
      </c>
      <c r="G65" s="3" t="s">
        <v>100</v>
      </c>
      <c r="H65" s="4">
        <v>45272</v>
      </c>
      <c r="I65" s="7">
        <v>1240</v>
      </c>
      <c r="J65" s="3" t="str">
        <f>IF(Sales[[#This Row],[Purchase Amount]]&gt;0,"Yes","No")</f>
        <v>Yes</v>
      </c>
    </row>
    <row r="66" spans="1:10" x14ac:dyDescent="0.2">
      <c r="A66" s="3" t="s">
        <v>384</v>
      </c>
      <c r="B66" s="3" t="s">
        <v>385</v>
      </c>
      <c r="C66" s="3" t="s">
        <v>386</v>
      </c>
      <c r="D66" s="3" t="s">
        <v>387</v>
      </c>
      <c r="E66" s="3" t="s">
        <v>210</v>
      </c>
      <c r="F66" s="3" t="s">
        <v>388</v>
      </c>
      <c r="G66" s="3" t="s">
        <v>102</v>
      </c>
      <c r="H66" s="4">
        <v>45272</v>
      </c>
      <c r="I66" s="7">
        <v>25</v>
      </c>
      <c r="J66" s="3" t="str">
        <f>IF(Sales[[#This Row],[Purchase Amount]]&gt;0,"Yes","No")</f>
        <v>Yes</v>
      </c>
    </row>
    <row r="67" spans="1:10" x14ac:dyDescent="0.2">
      <c r="A67" s="3" t="s">
        <v>389</v>
      </c>
      <c r="B67" s="3" t="s">
        <v>390</v>
      </c>
      <c r="C67" s="3" t="s">
        <v>391</v>
      </c>
      <c r="D67" s="3" t="s">
        <v>392</v>
      </c>
      <c r="E67" s="3" t="s">
        <v>118</v>
      </c>
      <c r="F67" s="3" t="s">
        <v>239</v>
      </c>
      <c r="G67" s="3" t="s">
        <v>101</v>
      </c>
      <c r="H67" s="4">
        <v>45272</v>
      </c>
      <c r="I67" s="7">
        <v>1620</v>
      </c>
      <c r="J67" s="3" t="str">
        <f>IF(Sales[[#This Row],[Purchase Amount]]&gt;0,"Yes","No")</f>
        <v>Yes</v>
      </c>
    </row>
    <row r="68" spans="1:10" x14ac:dyDescent="0.2">
      <c r="A68" s="3" t="s">
        <v>393</v>
      </c>
      <c r="B68" s="3" t="s">
        <v>394</v>
      </c>
      <c r="C68" s="3" t="s">
        <v>395</v>
      </c>
      <c r="D68" s="3" t="s">
        <v>396</v>
      </c>
      <c r="E68" s="3" t="s">
        <v>118</v>
      </c>
      <c r="F68" s="3" t="s">
        <v>173</v>
      </c>
      <c r="G68" s="3" t="s">
        <v>102</v>
      </c>
      <c r="H68" s="4">
        <v>45273</v>
      </c>
      <c r="I68" s="7">
        <v>515</v>
      </c>
      <c r="J68" s="3" t="str">
        <f>IF(Sales[[#This Row],[Purchase Amount]]&gt;0,"Yes","No")</f>
        <v>Yes</v>
      </c>
    </row>
    <row r="69" spans="1:10" x14ac:dyDescent="0.2">
      <c r="A69" s="3" t="s">
        <v>397</v>
      </c>
      <c r="B69" s="3" t="s">
        <v>169</v>
      </c>
      <c r="C69" s="3" t="s">
        <v>170</v>
      </c>
      <c r="D69" s="3" t="s">
        <v>171</v>
      </c>
      <c r="E69" s="3" t="s">
        <v>172</v>
      </c>
      <c r="F69" s="3" t="s">
        <v>341</v>
      </c>
      <c r="G69" s="3" t="s">
        <v>100</v>
      </c>
      <c r="H69" s="4">
        <v>45273</v>
      </c>
      <c r="I69" s="7">
        <v>60</v>
      </c>
      <c r="J69" s="3" t="str">
        <f>IF(Sales[[#This Row],[Purchase Amount]]&gt;0,"Yes","No")</f>
        <v>Yes</v>
      </c>
    </row>
    <row r="70" spans="1:10" x14ac:dyDescent="0.2">
      <c r="A70" s="3" t="s">
        <v>398</v>
      </c>
      <c r="B70" s="3" t="s">
        <v>282</v>
      </c>
      <c r="C70" s="3" t="s">
        <v>283</v>
      </c>
      <c r="D70" s="3" t="s">
        <v>284</v>
      </c>
      <c r="E70" s="3" t="s">
        <v>124</v>
      </c>
      <c r="F70" s="3" t="s">
        <v>125</v>
      </c>
      <c r="G70" s="3" t="s">
        <v>102</v>
      </c>
      <c r="H70" s="4">
        <v>45273</v>
      </c>
      <c r="I70" s="7">
        <v>20</v>
      </c>
      <c r="J70" s="3" t="str">
        <f>IF(Sales[[#This Row],[Purchase Amount]]&gt;0,"Yes","No")</f>
        <v>Yes</v>
      </c>
    </row>
    <row r="71" spans="1:10" x14ac:dyDescent="0.2">
      <c r="A71" s="3" t="s">
        <v>399</v>
      </c>
      <c r="B71" s="3" t="s">
        <v>322</v>
      </c>
      <c r="C71" s="3" t="s">
        <v>323</v>
      </c>
      <c r="D71" s="3" t="s">
        <v>324</v>
      </c>
      <c r="E71" s="3" t="s">
        <v>198</v>
      </c>
      <c r="F71" s="3" t="s">
        <v>260</v>
      </c>
      <c r="G71" s="3" t="s">
        <v>102</v>
      </c>
      <c r="H71" s="4">
        <v>45273</v>
      </c>
      <c r="I71" s="7">
        <v>565</v>
      </c>
      <c r="J71" s="3" t="str">
        <f>IF(Sales[[#This Row],[Purchase Amount]]&gt;0,"Yes","No")</f>
        <v>Yes</v>
      </c>
    </row>
    <row r="72" spans="1:10" x14ac:dyDescent="0.2">
      <c r="A72" s="3" t="s">
        <v>400</v>
      </c>
      <c r="B72" s="3" t="s">
        <v>164</v>
      </c>
      <c r="C72" s="3" t="s">
        <v>165</v>
      </c>
      <c r="D72" s="3" t="s">
        <v>166</v>
      </c>
      <c r="E72" s="3" t="s">
        <v>130</v>
      </c>
      <c r="F72" s="3" t="s">
        <v>193</v>
      </c>
      <c r="G72" s="3" t="s">
        <v>99</v>
      </c>
      <c r="H72" s="4">
        <v>45274</v>
      </c>
      <c r="I72" s="7"/>
      <c r="J72" s="3" t="str">
        <f>IF(Sales[[#This Row],[Purchase Amount]]&gt;0,"Yes","No")</f>
        <v>No</v>
      </c>
    </row>
    <row r="73" spans="1:10" x14ac:dyDescent="0.2">
      <c r="A73" s="3" t="s">
        <v>401</v>
      </c>
      <c r="B73" s="3" t="s">
        <v>402</v>
      </c>
      <c r="C73" s="3" t="s">
        <v>403</v>
      </c>
      <c r="D73" s="3" t="s">
        <v>404</v>
      </c>
      <c r="E73" s="3" t="s">
        <v>151</v>
      </c>
      <c r="F73" s="3" t="s">
        <v>136</v>
      </c>
      <c r="G73" s="3" t="s">
        <v>100</v>
      </c>
      <c r="H73" s="4">
        <v>45274</v>
      </c>
      <c r="I73" s="7">
        <v>940</v>
      </c>
      <c r="J73" s="3" t="str">
        <f>IF(Sales[[#This Row],[Purchase Amount]]&gt;0,"Yes","No")</f>
        <v>Yes</v>
      </c>
    </row>
    <row r="74" spans="1:10" x14ac:dyDescent="0.2">
      <c r="A74" s="3" t="s">
        <v>405</v>
      </c>
      <c r="B74" s="3" t="s">
        <v>252</v>
      </c>
      <c r="C74" s="3" t="s">
        <v>253</v>
      </c>
      <c r="D74" s="3" t="s">
        <v>254</v>
      </c>
      <c r="E74" s="3" t="s">
        <v>210</v>
      </c>
      <c r="F74" s="3" t="s">
        <v>406</v>
      </c>
      <c r="G74" s="3" t="s">
        <v>100</v>
      </c>
      <c r="H74" s="4">
        <v>45274</v>
      </c>
      <c r="I74" s="7">
        <v>1000</v>
      </c>
      <c r="J74" s="3" t="str">
        <f>IF(Sales[[#This Row],[Purchase Amount]]&gt;0,"Yes","No")</f>
        <v>Yes</v>
      </c>
    </row>
    <row r="75" spans="1:10" x14ac:dyDescent="0.2">
      <c r="A75" s="3" t="s">
        <v>407</v>
      </c>
      <c r="B75" s="3" t="s">
        <v>213</v>
      </c>
      <c r="C75" s="3" t="s">
        <v>214</v>
      </c>
      <c r="D75" s="3" t="s">
        <v>215</v>
      </c>
      <c r="E75" s="3" t="s">
        <v>124</v>
      </c>
      <c r="F75" s="3" t="s">
        <v>408</v>
      </c>
      <c r="G75" s="3" t="s">
        <v>101</v>
      </c>
      <c r="H75" s="4">
        <v>45274</v>
      </c>
      <c r="I75" s="7">
        <v>175</v>
      </c>
      <c r="J75" s="3" t="str">
        <f>IF(Sales[[#This Row],[Purchase Amount]]&gt;0,"Yes","No")</f>
        <v>Yes</v>
      </c>
    </row>
    <row r="76" spans="1:10" x14ac:dyDescent="0.2">
      <c r="A76" s="3" t="s">
        <v>409</v>
      </c>
      <c r="B76" s="3" t="s">
        <v>213</v>
      </c>
      <c r="C76" s="3" t="s">
        <v>214</v>
      </c>
      <c r="D76" s="3" t="s">
        <v>215</v>
      </c>
      <c r="E76" s="3" t="s">
        <v>124</v>
      </c>
      <c r="F76" s="3" t="s">
        <v>231</v>
      </c>
      <c r="G76" s="3" t="s">
        <v>102</v>
      </c>
      <c r="H76" s="4">
        <v>45275</v>
      </c>
      <c r="I76" s="7"/>
      <c r="J76" s="3" t="str">
        <f>IF(Sales[[#This Row],[Purchase Amount]]&gt;0,"Yes","No")</f>
        <v>No</v>
      </c>
    </row>
    <row r="77" spans="1:10" x14ac:dyDescent="0.2">
      <c r="A77" s="3" t="s">
        <v>410</v>
      </c>
      <c r="B77" s="3" t="s">
        <v>269</v>
      </c>
      <c r="C77" s="3" t="s">
        <v>270</v>
      </c>
      <c r="D77" s="3" t="s">
        <v>271</v>
      </c>
      <c r="E77" s="3" t="s">
        <v>272</v>
      </c>
      <c r="F77" s="3" t="s">
        <v>411</v>
      </c>
      <c r="G77" s="3" t="s">
        <v>100</v>
      </c>
      <c r="H77" s="4">
        <v>45275</v>
      </c>
      <c r="I77" s="7"/>
      <c r="J77" s="3" t="str">
        <f>IF(Sales[[#This Row],[Purchase Amount]]&gt;0,"Yes","No")</f>
        <v>No</v>
      </c>
    </row>
    <row r="78" spans="1:10" x14ac:dyDescent="0.2">
      <c r="A78" s="3" t="s">
        <v>412</v>
      </c>
      <c r="B78" s="3" t="s">
        <v>390</v>
      </c>
      <c r="C78" s="3" t="s">
        <v>391</v>
      </c>
      <c r="D78" s="3" t="s">
        <v>392</v>
      </c>
      <c r="E78" s="3" t="s">
        <v>118</v>
      </c>
      <c r="F78" s="3" t="s">
        <v>330</v>
      </c>
      <c r="G78" s="3" t="s">
        <v>101</v>
      </c>
      <c r="H78" s="4">
        <v>45275</v>
      </c>
      <c r="I78" s="7">
        <v>755</v>
      </c>
      <c r="J78" s="3" t="str">
        <f>IF(Sales[[#This Row],[Purchase Amount]]&gt;0,"Yes","No")</f>
        <v>Yes</v>
      </c>
    </row>
    <row r="79" spans="1:10" x14ac:dyDescent="0.2">
      <c r="A79" s="3" t="s">
        <v>413</v>
      </c>
      <c r="B79" s="3" t="s">
        <v>414</v>
      </c>
      <c r="C79" s="3" t="s">
        <v>415</v>
      </c>
      <c r="D79" s="3" t="s">
        <v>416</v>
      </c>
      <c r="E79" s="3" t="s">
        <v>118</v>
      </c>
      <c r="F79" s="3" t="s">
        <v>330</v>
      </c>
      <c r="G79" s="3" t="s">
        <v>100</v>
      </c>
      <c r="H79" s="4">
        <v>45275</v>
      </c>
      <c r="I79" s="7">
        <v>1415</v>
      </c>
      <c r="J79" s="3" t="str">
        <f>IF(Sales[[#This Row],[Purchase Amount]]&gt;0,"Yes","No")</f>
        <v>Yes</v>
      </c>
    </row>
    <row r="80" spans="1:10" x14ac:dyDescent="0.2">
      <c r="A80" s="3" t="s">
        <v>417</v>
      </c>
      <c r="B80" s="3" t="s">
        <v>394</v>
      </c>
      <c r="C80" s="3" t="s">
        <v>395</v>
      </c>
      <c r="D80" s="3" t="s">
        <v>396</v>
      </c>
      <c r="E80" s="3" t="s">
        <v>118</v>
      </c>
      <c r="F80" s="3" t="s">
        <v>320</v>
      </c>
      <c r="G80" s="3" t="s">
        <v>102</v>
      </c>
      <c r="H80" s="4">
        <v>45275</v>
      </c>
      <c r="I80" s="7">
        <v>780</v>
      </c>
      <c r="J80" s="3" t="str">
        <f>IF(Sales[[#This Row],[Purchase Amount]]&gt;0,"Yes","No")</f>
        <v>Yes</v>
      </c>
    </row>
    <row r="81" spans="1:10" x14ac:dyDescent="0.2">
      <c r="A81" s="3" t="s">
        <v>418</v>
      </c>
      <c r="B81" s="3" t="s">
        <v>419</v>
      </c>
      <c r="C81" s="3" t="s">
        <v>420</v>
      </c>
      <c r="D81" s="3" t="s">
        <v>421</v>
      </c>
      <c r="E81" s="3" t="s">
        <v>244</v>
      </c>
      <c r="F81" s="3" t="s">
        <v>267</v>
      </c>
      <c r="G81" s="3" t="s">
        <v>100</v>
      </c>
      <c r="H81" s="4">
        <v>45275</v>
      </c>
      <c r="I81" s="7">
        <v>855</v>
      </c>
      <c r="J81" s="3" t="str">
        <f>IF(Sales[[#This Row],[Purchase Amount]]&gt;0,"Yes","No")</f>
        <v>Yes</v>
      </c>
    </row>
    <row r="82" spans="1:10" x14ac:dyDescent="0.2">
      <c r="A82" s="3" t="s">
        <v>422</v>
      </c>
      <c r="B82" s="3" t="s">
        <v>423</v>
      </c>
      <c r="C82" s="3" t="s">
        <v>424</v>
      </c>
      <c r="D82" s="3" t="s">
        <v>425</v>
      </c>
      <c r="E82" s="3" t="s">
        <v>151</v>
      </c>
      <c r="F82" s="3" t="s">
        <v>294</v>
      </c>
      <c r="G82" s="3" t="s">
        <v>102</v>
      </c>
      <c r="H82" s="4">
        <v>45275</v>
      </c>
      <c r="I82" s="7">
        <v>605</v>
      </c>
      <c r="J82" s="3" t="str">
        <f>IF(Sales[[#This Row],[Purchase Amount]]&gt;0,"Yes","No")</f>
        <v>Yes</v>
      </c>
    </row>
    <row r="83" spans="1:10" x14ac:dyDescent="0.2">
      <c r="A83" s="3" t="s">
        <v>426</v>
      </c>
      <c r="B83" s="3" t="s">
        <v>427</v>
      </c>
      <c r="C83" s="3" t="s">
        <v>428</v>
      </c>
      <c r="D83" s="3" t="s">
        <v>429</v>
      </c>
      <c r="E83" s="3" t="s">
        <v>135</v>
      </c>
      <c r="F83" s="3" t="s">
        <v>131</v>
      </c>
      <c r="G83" s="3" t="s">
        <v>101</v>
      </c>
      <c r="H83" s="4">
        <v>45276</v>
      </c>
      <c r="I83" s="7"/>
      <c r="J83" s="3" t="str">
        <f>IF(Sales[[#This Row],[Purchase Amount]]&gt;0,"Yes","No")</f>
        <v>No</v>
      </c>
    </row>
    <row r="84" spans="1:10" x14ac:dyDescent="0.2">
      <c r="A84" s="3" t="s">
        <v>430</v>
      </c>
      <c r="B84" s="3" t="s">
        <v>234</v>
      </c>
      <c r="C84" s="3" t="s">
        <v>235</v>
      </c>
      <c r="D84" s="3" t="s">
        <v>236</v>
      </c>
      <c r="E84" s="3" t="s">
        <v>118</v>
      </c>
      <c r="F84" s="3" t="s">
        <v>431</v>
      </c>
      <c r="G84" s="3" t="s">
        <v>101</v>
      </c>
      <c r="H84" s="4">
        <v>45276</v>
      </c>
      <c r="I84" s="7"/>
      <c r="J84" s="3" t="str">
        <f>IF(Sales[[#This Row],[Purchase Amount]]&gt;0,"Yes","No")</f>
        <v>No</v>
      </c>
    </row>
    <row r="85" spans="1:10" x14ac:dyDescent="0.2">
      <c r="A85" s="3" t="s">
        <v>432</v>
      </c>
      <c r="B85" s="3" t="s">
        <v>217</v>
      </c>
      <c r="C85" s="3" t="s">
        <v>218</v>
      </c>
      <c r="D85" s="3" t="s">
        <v>219</v>
      </c>
      <c r="E85" s="3" t="s">
        <v>135</v>
      </c>
      <c r="F85" s="3" t="s">
        <v>250</v>
      </c>
      <c r="G85" s="3" t="s">
        <v>100</v>
      </c>
      <c r="H85" s="4">
        <v>45276</v>
      </c>
      <c r="I85" s="7">
        <v>475</v>
      </c>
      <c r="J85" s="3" t="str">
        <f>IF(Sales[[#This Row],[Purchase Amount]]&gt;0,"Yes","No")</f>
        <v>Yes</v>
      </c>
    </row>
    <row r="86" spans="1:10" x14ac:dyDescent="0.2">
      <c r="A86" s="3" t="s">
        <v>433</v>
      </c>
      <c r="B86" s="3" t="s">
        <v>148</v>
      </c>
      <c r="C86" s="3" t="s">
        <v>149</v>
      </c>
      <c r="D86" s="3" t="s">
        <v>150</v>
      </c>
      <c r="E86" s="3" t="s">
        <v>151</v>
      </c>
      <c r="F86" s="3" t="s">
        <v>341</v>
      </c>
      <c r="G86" s="3" t="s">
        <v>102</v>
      </c>
      <c r="H86" s="4">
        <v>45276</v>
      </c>
      <c r="I86" s="7">
        <v>405</v>
      </c>
      <c r="J86" s="3" t="str">
        <f>IF(Sales[[#This Row],[Purchase Amount]]&gt;0,"Yes","No")</f>
        <v>Yes</v>
      </c>
    </row>
    <row r="87" spans="1:10" x14ac:dyDescent="0.2">
      <c r="A87" s="3" t="s">
        <v>434</v>
      </c>
      <c r="B87" s="3" t="s">
        <v>234</v>
      </c>
      <c r="C87" s="3" t="s">
        <v>235</v>
      </c>
      <c r="D87" s="3" t="s">
        <v>236</v>
      </c>
      <c r="E87" s="3" t="s">
        <v>118</v>
      </c>
      <c r="F87" s="3" t="s">
        <v>330</v>
      </c>
      <c r="G87" s="3" t="s">
        <v>100</v>
      </c>
      <c r="H87" s="4">
        <v>45276</v>
      </c>
      <c r="I87" s="7">
        <v>1200</v>
      </c>
      <c r="J87" s="3" t="str">
        <f>IF(Sales[[#This Row],[Purchase Amount]]&gt;0,"Yes","No")</f>
        <v>Yes</v>
      </c>
    </row>
    <row r="88" spans="1:10" x14ac:dyDescent="0.2">
      <c r="A88" s="3" t="s">
        <v>435</v>
      </c>
      <c r="B88" s="3" t="s">
        <v>436</v>
      </c>
      <c r="C88" s="3" t="s">
        <v>437</v>
      </c>
      <c r="D88" s="3" t="s">
        <v>438</v>
      </c>
      <c r="E88" s="3" t="s">
        <v>135</v>
      </c>
      <c r="F88" s="3" t="s">
        <v>388</v>
      </c>
      <c r="G88" s="3" t="s">
        <v>101</v>
      </c>
      <c r="H88" s="4">
        <v>45276</v>
      </c>
      <c r="I88" s="7">
        <v>425</v>
      </c>
      <c r="J88" s="3" t="str">
        <f>IF(Sales[[#This Row],[Purchase Amount]]&gt;0,"Yes","No")</f>
        <v>Yes</v>
      </c>
    </row>
    <row r="89" spans="1:10" x14ac:dyDescent="0.2">
      <c r="A89" s="3" t="s">
        <v>439</v>
      </c>
      <c r="B89" s="3" t="s">
        <v>390</v>
      </c>
      <c r="C89" s="3" t="s">
        <v>391</v>
      </c>
      <c r="D89" s="3" t="s">
        <v>392</v>
      </c>
      <c r="E89" s="3" t="s">
        <v>118</v>
      </c>
      <c r="F89" s="3" t="s">
        <v>388</v>
      </c>
      <c r="G89" s="3" t="s">
        <v>102</v>
      </c>
      <c r="H89" s="4">
        <v>45276</v>
      </c>
      <c r="I89" s="7">
        <v>1230</v>
      </c>
      <c r="J89" s="3" t="str">
        <f>IF(Sales[[#This Row],[Purchase Amount]]&gt;0,"Yes","No")</f>
        <v>Yes</v>
      </c>
    </row>
    <row r="90" spans="1:10" x14ac:dyDescent="0.2">
      <c r="A90" s="3" t="s">
        <v>440</v>
      </c>
      <c r="B90" s="3" t="s">
        <v>148</v>
      </c>
      <c r="C90" s="3" t="s">
        <v>149</v>
      </c>
      <c r="D90" s="3" t="s">
        <v>150</v>
      </c>
      <c r="E90" s="3" t="s">
        <v>151</v>
      </c>
      <c r="F90" s="3" t="s">
        <v>431</v>
      </c>
      <c r="G90" s="3" t="s">
        <v>101</v>
      </c>
      <c r="H90" s="4">
        <v>45276</v>
      </c>
      <c r="I90" s="7">
        <v>880</v>
      </c>
      <c r="J90" s="3" t="str">
        <f>IF(Sales[[#This Row],[Purchase Amount]]&gt;0,"Yes","No")</f>
        <v>Yes</v>
      </c>
    </row>
    <row r="91" spans="1:10" x14ac:dyDescent="0.2">
      <c r="A91" s="3" t="s">
        <v>441</v>
      </c>
      <c r="B91" s="3" t="s">
        <v>442</v>
      </c>
      <c r="C91" s="3" t="s">
        <v>443</v>
      </c>
      <c r="D91" s="3" t="s">
        <v>444</v>
      </c>
      <c r="E91" s="3" t="s">
        <v>210</v>
      </c>
      <c r="F91" s="3" t="s">
        <v>431</v>
      </c>
      <c r="G91" s="3" t="s">
        <v>102</v>
      </c>
      <c r="H91" s="4">
        <v>45277</v>
      </c>
      <c r="I91" s="7"/>
      <c r="J91" s="3" t="str">
        <f>IF(Sales[[#This Row],[Purchase Amount]]&gt;0,"Yes","No")</f>
        <v>No</v>
      </c>
    </row>
    <row r="92" spans="1:10" x14ac:dyDescent="0.2">
      <c r="A92" s="3" t="s">
        <v>445</v>
      </c>
      <c r="B92" s="3" t="s">
        <v>390</v>
      </c>
      <c r="C92" s="3" t="s">
        <v>391</v>
      </c>
      <c r="D92" s="3" t="s">
        <v>392</v>
      </c>
      <c r="E92" s="3" t="s">
        <v>118</v>
      </c>
      <c r="F92" s="3" t="s">
        <v>388</v>
      </c>
      <c r="G92" s="3" t="s">
        <v>101</v>
      </c>
      <c r="H92" s="4">
        <v>45277</v>
      </c>
      <c r="I92" s="7"/>
      <c r="J92" s="3" t="str">
        <f>IF(Sales[[#This Row],[Purchase Amount]]&gt;0,"Yes","No")</f>
        <v>No</v>
      </c>
    </row>
    <row r="93" spans="1:10" x14ac:dyDescent="0.2">
      <c r="A93" s="3" t="s">
        <v>446</v>
      </c>
      <c r="B93" s="3" t="s">
        <v>217</v>
      </c>
      <c r="C93" s="3" t="s">
        <v>218</v>
      </c>
      <c r="D93" s="3" t="s">
        <v>219</v>
      </c>
      <c r="E93" s="3" t="s">
        <v>135</v>
      </c>
      <c r="F93" s="3" t="s">
        <v>275</v>
      </c>
      <c r="G93" s="3" t="s">
        <v>102</v>
      </c>
      <c r="H93" s="4">
        <v>45277</v>
      </c>
      <c r="I93" s="7"/>
      <c r="J93" s="3" t="str">
        <f>IF(Sales[[#This Row],[Purchase Amount]]&gt;0,"Yes","No")</f>
        <v>No</v>
      </c>
    </row>
    <row r="94" spans="1:10" x14ac:dyDescent="0.2">
      <c r="A94" s="3" t="s">
        <v>447</v>
      </c>
      <c r="B94" s="3" t="s">
        <v>371</v>
      </c>
      <c r="C94" s="3" t="s">
        <v>372</v>
      </c>
      <c r="D94" s="3" t="s">
        <v>373</v>
      </c>
      <c r="E94" s="3" t="s">
        <v>374</v>
      </c>
      <c r="F94" s="3" t="s">
        <v>146</v>
      </c>
      <c r="G94" s="3" t="s">
        <v>102</v>
      </c>
      <c r="H94" s="4">
        <v>45277</v>
      </c>
      <c r="I94" s="7"/>
      <c r="J94" s="3" t="str">
        <f>IF(Sales[[#This Row],[Purchase Amount]]&gt;0,"Yes","No")</f>
        <v>No</v>
      </c>
    </row>
    <row r="95" spans="1:10" x14ac:dyDescent="0.2">
      <c r="A95" s="3" t="s">
        <v>448</v>
      </c>
      <c r="B95" s="3" t="s">
        <v>305</v>
      </c>
      <c r="C95" s="3" t="s">
        <v>306</v>
      </c>
      <c r="D95" s="3" t="s">
        <v>307</v>
      </c>
      <c r="E95" s="3" t="s">
        <v>130</v>
      </c>
      <c r="F95" s="3" t="s">
        <v>449</v>
      </c>
      <c r="G95" s="3" t="s">
        <v>101</v>
      </c>
      <c r="H95" s="4">
        <v>45277</v>
      </c>
      <c r="I95" s="7">
        <v>1100</v>
      </c>
      <c r="J95" s="3" t="str">
        <f>IF(Sales[[#This Row],[Purchase Amount]]&gt;0,"Yes","No")</f>
        <v>Yes</v>
      </c>
    </row>
    <row r="96" spans="1:10" x14ac:dyDescent="0.2">
      <c r="A96" s="3" t="s">
        <v>450</v>
      </c>
      <c r="B96" s="3" t="s">
        <v>138</v>
      </c>
      <c r="C96" s="3" t="s">
        <v>139</v>
      </c>
      <c r="D96" s="3" t="s">
        <v>140</v>
      </c>
      <c r="E96" s="3" t="s">
        <v>135</v>
      </c>
      <c r="F96" s="3" t="s">
        <v>451</v>
      </c>
      <c r="G96" s="3" t="s">
        <v>101</v>
      </c>
      <c r="H96" s="4">
        <v>45277</v>
      </c>
      <c r="I96" s="7">
        <v>815</v>
      </c>
      <c r="J96" s="3" t="str">
        <f>IF(Sales[[#This Row],[Purchase Amount]]&gt;0,"Yes","No")</f>
        <v>Yes</v>
      </c>
    </row>
    <row r="97" spans="1:10" x14ac:dyDescent="0.2">
      <c r="A97" s="3" t="s">
        <v>452</v>
      </c>
      <c r="B97" s="3" t="s">
        <v>377</v>
      </c>
      <c r="C97" s="3" t="s">
        <v>378</v>
      </c>
      <c r="D97" s="3" t="s">
        <v>379</v>
      </c>
      <c r="E97" s="3" t="s">
        <v>151</v>
      </c>
      <c r="F97" s="3" t="s">
        <v>260</v>
      </c>
      <c r="G97" s="3" t="s">
        <v>100</v>
      </c>
      <c r="H97" s="4">
        <v>45278</v>
      </c>
      <c r="I97" s="7">
        <v>1350</v>
      </c>
      <c r="J97" s="3" t="str">
        <f>IF(Sales[[#This Row],[Purchase Amount]]&gt;0,"Yes","No")</f>
        <v>Yes</v>
      </c>
    </row>
    <row r="98" spans="1:10" x14ac:dyDescent="0.2">
      <c r="A98" s="3" t="s">
        <v>453</v>
      </c>
      <c r="B98" s="3" t="s">
        <v>427</v>
      </c>
      <c r="C98" s="3" t="s">
        <v>428</v>
      </c>
      <c r="D98" s="3" t="s">
        <v>429</v>
      </c>
      <c r="E98" s="3" t="s">
        <v>135</v>
      </c>
      <c r="F98" s="3" t="s">
        <v>273</v>
      </c>
      <c r="G98" s="3" t="s">
        <v>100</v>
      </c>
      <c r="H98" s="4">
        <v>45278</v>
      </c>
      <c r="I98" s="7">
        <v>990</v>
      </c>
      <c r="J98" s="3" t="str">
        <f>IF(Sales[[#This Row],[Purchase Amount]]&gt;0,"Yes","No")</f>
        <v>Yes</v>
      </c>
    </row>
    <row r="99" spans="1:10" x14ac:dyDescent="0.2">
      <c r="A99" s="3" t="s">
        <v>454</v>
      </c>
      <c r="B99" s="3" t="s">
        <v>358</v>
      </c>
      <c r="C99" s="3" t="s">
        <v>359</v>
      </c>
      <c r="D99" s="3" t="s">
        <v>360</v>
      </c>
      <c r="E99" s="3" t="s">
        <v>335</v>
      </c>
      <c r="F99" s="3" t="s">
        <v>273</v>
      </c>
      <c r="G99" s="3" t="s">
        <v>101</v>
      </c>
      <c r="H99" s="4">
        <v>45278</v>
      </c>
      <c r="I99" s="7">
        <v>735</v>
      </c>
      <c r="J99" s="3" t="str">
        <f>IF(Sales[[#This Row],[Purchase Amount]]&gt;0,"Yes","No")</f>
        <v>Yes</v>
      </c>
    </row>
    <row r="100" spans="1:10" x14ac:dyDescent="0.2">
      <c r="A100" s="3" t="s">
        <v>455</v>
      </c>
      <c r="B100" s="3" t="s">
        <v>456</v>
      </c>
      <c r="C100" s="3" t="s">
        <v>457</v>
      </c>
      <c r="D100" s="3" t="s">
        <v>458</v>
      </c>
      <c r="E100" s="3" t="s">
        <v>130</v>
      </c>
      <c r="F100" s="3" t="s">
        <v>285</v>
      </c>
      <c r="G100" s="3" t="s">
        <v>102</v>
      </c>
      <c r="H100" s="4">
        <v>45279</v>
      </c>
      <c r="I100" s="7">
        <v>640</v>
      </c>
      <c r="J100" s="3" t="str">
        <f>IF(Sales[[#This Row],[Purchase Amount]]&gt;0,"Yes","No")</f>
        <v>Yes</v>
      </c>
    </row>
    <row r="101" spans="1:10" x14ac:dyDescent="0.2">
      <c r="A101" s="3" t="s">
        <v>459</v>
      </c>
      <c r="B101" s="3" t="s">
        <v>358</v>
      </c>
      <c r="C101" s="3" t="s">
        <v>359</v>
      </c>
      <c r="D101" s="3" t="s">
        <v>360</v>
      </c>
      <c r="E101" s="3" t="s">
        <v>335</v>
      </c>
      <c r="F101" s="3" t="s">
        <v>211</v>
      </c>
      <c r="G101" s="3" t="s">
        <v>101</v>
      </c>
      <c r="H101" s="4">
        <v>45279</v>
      </c>
      <c r="I101" s="7">
        <v>525</v>
      </c>
      <c r="J101" s="3" t="str">
        <f>IF(Sales[[#This Row],[Purchase Amount]]&gt;0,"Yes","No")</f>
        <v>Yes</v>
      </c>
    </row>
    <row r="102" spans="1:10" x14ac:dyDescent="0.2">
      <c r="A102" s="3" t="s">
        <v>460</v>
      </c>
      <c r="B102" s="3" t="s">
        <v>402</v>
      </c>
      <c r="C102" s="3" t="s">
        <v>403</v>
      </c>
      <c r="D102" s="3" t="s">
        <v>404</v>
      </c>
      <c r="E102" s="3" t="s">
        <v>151</v>
      </c>
      <c r="F102" s="3" t="s">
        <v>336</v>
      </c>
      <c r="G102" s="3" t="s">
        <v>102</v>
      </c>
      <c r="H102" s="4">
        <v>45280</v>
      </c>
      <c r="I102" s="7"/>
      <c r="J102" s="3" t="str">
        <f>IF(Sales[[#This Row],[Purchase Amount]]&gt;0,"Yes","No")</f>
        <v>No</v>
      </c>
    </row>
    <row r="103" spans="1:10" x14ac:dyDescent="0.2">
      <c r="A103" s="3" t="s">
        <v>461</v>
      </c>
      <c r="B103" s="3" t="s">
        <v>462</v>
      </c>
      <c r="C103" s="3" t="s">
        <v>463</v>
      </c>
      <c r="D103" s="3" t="s">
        <v>464</v>
      </c>
      <c r="E103" s="3" t="s">
        <v>198</v>
      </c>
      <c r="F103" s="3" t="s">
        <v>465</v>
      </c>
      <c r="G103" s="3" t="s">
        <v>100</v>
      </c>
      <c r="H103" s="4">
        <v>45280</v>
      </c>
      <c r="I103" s="7">
        <v>1085</v>
      </c>
      <c r="J103" s="3" t="str">
        <f>IF(Sales[[#This Row],[Purchase Amount]]&gt;0,"Yes","No")</f>
        <v>Yes</v>
      </c>
    </row>
    <row r="104" spans="1:10" x14ac:dyDescent="0.2">
      <c r="A104" s="3" t="s">
        <v>466</v>
      </c>
      <c r="B104" s="3" t="s">
        <v>467</v>
      </c>
      <c r="C104" s="3" t="s">
        <v>468</v>
      </c>
      <c r="D104" s="3" t="s">
        <v>469</v>
      </c>
      <c r="E104" s="3" t="s">
        <v>118</v>
      </c>
      <c r="F104" s="3" t="s">
        <v>136</v>
      </c>
      <c r="G104" s="3" t="s">
        <v>102</v>
      </c>
      <c r="H104" s="4">
        <v>45280</v>
      </c>
      <c r="I104" s="7">
        <v>1945</v>
      </c>
      <c r="J104" s="3" t="str">
        <f>IF(Sales[[#This Row],[Purchase Amount]]&gt;0,"Yes","No")</f>
        <v>Yes</v>
      </c>
    </row>
    <row r="105" spans="1:10" x14ac:dyDescent="0.2">
      <c r="A105" s="3" t="s">
        <v>470</v>
      </c>
      <c r="B105" s="3" t="s">
        <v>257</v>
      </c>
      <c r="C105" s="3" t="s">
        <v>258</v>
      </c>
      <c r="D105" s="3" t="s">
        <v>259</v>
      </c>
      <c r="E105" s="3" t="s">
        <v>244</v>
      </c>
      <c r="F105" s="3" t="s">
        <v>157</v>
      </c>
      <c r="G105" s="3" t="s">
        <v>102</v>
      </c>
      <c r="H105" s="4">
        <v>45280</v>
      </c>
      <c r="I105" s="7">
        <v>495</v>
      </c>
      <c r="J105" s="3" t="str">
        <f>IF(Sales[[#This Row],[Purchase Amount]]&gt;0,"Yes","No")</f>
        <v>Yes</v>
      </c>
    </row>
    <row r="106" spans="1:10" x14ac:dyDescent="0.2">
      <c r="A106" s="3" t="s">
        <v>471</v>
      </c>
      <c r="B106" s="3" t="s">
        <v>472</v>
      </c>
      <c r="C106" s="3" t="s">
        <v>473</v>
      </c>
      <c r="D106" s="3" t="s">
        <v>474</v>
      </c>
      <c r="E106" s="3" t="s">
        <v>124</v>
      </c>
      <c r="F106" s="3" t="s">
        <v>205</v>
      </c>
      <c r="G106" s="3" t="s">
        <v>102</v>
      </c>
      <c r="H106" s="4">
        <v>45280</v>
      </c>
      <c r="I106" s="7">
        <v>755</v>
      </c>
      <c r="J106" s="3" t="str">
        <f>IF(Sales[[#This Row],[Purchase Amount]]&gt;0,"Yes","No")</f>
        <v>Yes</v>
      </c>
    </row>
    <row r="107" spans="1:10" x14ac:dyDescent="0.2">
      <c r="A107" s="3" t="s">
        <v>475</v>
      </c>
      <c r="B107" s="3" t="s">
        <v>305</v>
      </c>
      <c r="C107" s="3" t="s">
        <v>306</v>
      </c>
      <c r="D107" s="3" t="s">
        <v>307</v>
      </c>
      <c r="E107" s="3" t="s">
        <v>130</v>
      </c>
      <c r="F107" s="3" t="s">
        <v>330</v>
      </c>
      <c r="G107" s="3" t="s">
        <v>102</v>
      </c>
      <c r="H107" s="4">
        <v>45280</v>
      </c>
      <c r="I107" s="7">
        <v>1645</v>
      </c>
      <c r="J107" s="3" t="str">
        <f>IF(Sales[[#This Row],[Purchase Amount]]&gt;0,"Yes","No")</f>
        <v>Yes</v>
      </c>
    </row>
    <row r="108" spans="1:10" x14ac:dyDescent="0.2">
      <c r="A108" s="3" t="s">
        <v>476</v>
      </c>
      <c r="B108" s="3" t="s">
        <v>222</v>
      </c>
      <c r="C108" s="3" t="s">
        <v>223</v>
      </c>
      <c r="D108" s="3" t="s">
        <v>224</v>
      </c>
      <c r="E108" s="3" t="s">
        <v>172</v>
      </c>
      <c r="F108" s="3" t="s">
        <v>411</v>
      </c>
      <c r="G108" s="3" t="s">
        <v>101</v>
      </c>
      <c r="H108" s="4">
        <v>45281</v>
      </c>
      <c r="I108" s="7"/>
      <c r="J108" s="3" t="str">
        <f>IF(Sales[[#This Row],[Purchase Amount]]&gt;0,"Yes","No")</f>
        <v>No</v>
      </c>
    </row>
    <row r="109" spans="1:10" x14ac:dyDescent="0.2">
      <c r="A109" s="3" t="s">
        <v>477</v>
      </c>
      <c r="B109" s="3" t="s">
        <v>478</v>
      </c>
      <c r="C109" s="3" t="s">
        <v>479</v>
      </c>
      <c r="D109" s="3" t="s">
        <v>480</v>
      </c>
      <c r="E109" s="3" t="s">
        <v>124</v>
      </c>
      <c r="F109" s="3" t="s">
        <v>481</v>
      </c>
      <c r="G109" s="3" t="s">
        <v>102</v>
      </c>
      <c r="H109" s="4">
        <v>45281</v>
      </c>
      <c r="I109" s="7">
        <v>70</v>
      </c>
      <c r="J109" s="3" t="str">
        <f>IF(Sales[[#This Row],[Purchase Amount]]&gt;0,"Yes","No")</f>
        <v>Yes</v>
      </c>
    </row>
    <row r="110" spans="1:10" x14ac:dyDescent="0.2">
      <c r="A110" s="3" t="s">
        <v>482</v>
      </c>
      <c r="B110" s="3" t="s">
        <v>483</v>
      </c>
      <c r="C110" s="3" t="s">
        <v>484</v>
      </c>
      <c r="D110" s="3" t="s">
        <v>485</v>
      </c>
      <c r="E110" s="3" t="s">
        <v>135</v>
      </c>
      <c r="F110" s="3" t="s">
        <v>239</v>
      </c>
      <c r="G110" s="3" t="s">
        <v>102</v>
      </c>
      <c r="H110" s="4">
        <v>45281</v>
      </c>
      <c r="I110" s="7">
        <v>435</v>
      </c>
      <c r="J110" s="3" t="str">
        <f>IF(Sales[[#This Row],[Purchase Amount]]&gt;0,"Yes","No")</f>
        <v>Yes</v>
      </c>
    </row>
    <row r="111" spans="1:10" x14ac:dyDescent="0.2">
      <c r="A111" s="3" t="s">
        <v>486</v>
      </c>
      <c r="B111" s="3" t="s">
        <v>115</v>
      </c>
      <c r="C111" s="3" t="s">
        <v>116</v>
      </c>
      <c r="D111" s="3" t="s">
        <v>117</v>
      </c>
      <c r="E111" s="3" t="s">
        <v>118</v>
      </c>
      <c r="F111" s="3" t="s">
        <v>173</v>
      </c>
      <c r="G111" s="3" t="s">
        <v>102</v>
      </c>
      <c r="H111" s="4">
        <v>45281</v>
      </c>
      <c r="I111" s="7">
        <v>480</v>
      </c>
      <c r="J111" s="3" t="str">
        <f>IF(Sales[[#This Row],[Purchase Amount]]&gt;0,"Yes","No")</f>
        <v>Yes</v>
      </c>
    </row>
    <row r="112" spans="1:10" x14ac:dyDescent="0.2">
      <c r="A112" s="3" t="s">
        <v>487</v>
      </c>
      <c r="B112" s="3" t="s">
        <v>488</v>
      </c>
      <c r="C112" s="3" t="s">
        <v>489</v>
      </c>
      <c r="D112" s="3" t="s">
        <v>490</v>
      </c>
      <c r="E112" s="3" t="s">
        <v>210</v>
      </c>
      <c r="F112" s="3" t="s">
        <v>260</v>
      </c>
      <c r="G112" s="3" t="s">
        <v>101</v>
      </c>
      <c r="H112" s="4">
        <v>45281</v>
      </c>
      <c r="I112" s="7">
        <v>135</v>
      </c>
      <c r="J112" s="3" t="str">
        <f>IF(Sales[[#This Row],[Purchase Amount]]&gt;0,"Yes","No")</f>
        <v>Yes</v>
      </c>
    </row>
    <row r="113" spans="1:10" x14ac:dyDescent="0.2">
      <c r="A113" s="3" t="s">
        <v>491</v>
      </c>
      <c r="B113" s="3" t="s">
        <v>492</v>
      </c>
      <c r="C113" s="3" t="s">
        <v>493</v>
      </c>
      <c r="D113" s="3" t="s">
        <v>494</v>
      </c>
      <c r="E113" s="3" t="s">
        <v>130</v>
      </c>
      <c r="F113" s="3" t="s">
        <v>294</v>
      </c>
      <c r="G113" s="3" t="s">
        <v>100</v>
      </c>
      <c r="H113" s="4">
        <v>45281</v>
      </c>
      <c r="I113" s="7">
        <v>1380</v>
      </c>
      <c r="J113" s="3" t="str">
        <f>IF(Sales[[#This Row],[Purchase Amount]]&gt;0,"Yes","No")</f>
        <v>Yes</v>
      </c>
    </row>
    <row r="114" spans="1:10" x14ac:dyDescent="0.2">
      <c r="A114" s="3" t="s">
        <v>495</v>
      </c>
      <c r="B114" s="3" t="s">
        <v>394</v>
      </c>
      <c r="C114" s="3" t="s">
        <v>395</v>
      </c>
      <c r="D114" s="3" t="s">
        <v>396</v>
      </c>
      <c r="E114" s="3" t="s">
        <v>118</v>
      </c>
      <c r="F114" s="3" t="s">
        <v>162</v>
      </c>
      <c r="G114" s="3" t="s">
        <v>102</v>
      </c>
      <c r="H114" s="4">
        <v>45281</v>
      </c>
      <c r="I114" s="7">
        <v>415</v>
      </c>
      <c r="J114" s="3" t="str">
        <f>IF(Sales[[#This Row],[Purchase Amount]]&gt;0,"Yes","No")</f>
        <v>Yes</v>
      </c>
    </row>
    <row r="115" spans="1:10" x14ac:dyDescent="0.2">
      <c r="A115" s="3" t="s">
        <v>496</v>
      </c>
      <c r="B115" s="3" t="s">
        <v>390</v>
      </c>
      <c r="C115" s="3" t="s">
        <v>391</v>
      </c>
      <c r="D115" s="3" t="s">
        <v>392</v>
      </c>
      <c r="E115" s="3" t="s">
        <v>118</v>
      </c>
      <c r="F115" s="3" t="s">
        <v>173</v>
      </c>
      <c r="G115" s="3" t="s">
        <v>102</v>
      </c>
      <c r="H115" s="4">
        <v>45281</v>
      </c>
      <c r="I115" s="7">
        <v>325</v>
      </c>
      <c r="J115" s="3" t="str">
        <f>IF(Sales[[#This Row],[Purchase Amount]]&gt;0,"Yes","No")</f>
        <v>Yes</v>
      </c>
    </row>
    <row r="116" spans="1:10" x14ac:dyDescent="0.2">
      <c r="A116" s="3" t="s">
        <v>497</v>
      </c>
      <c r="B116" s="3" t="s">
        <v>241</v>
      </c>
      <c r="C116" s="3" t="s">
        <v>242</v>
      </c>
      <c r="D116" s="3" t="s">
        <v>243</v>
      </c>
      <c r="E116" s="3" t="s">
        <v>244</v>
      </c>
      <c r="F116" s="3" t="s">
        <v>141</v>
      </c>
      <c r="G116" s="3" t="s">
        <v>101</v>
      </c>
      <c r="H116" s="4">
        <v>45282</v>
      </c>
      <c r="I116" s="7">
        <v>370</v>
      </c>
      <c r="J116" s="3" t="str">
        <f>IF(Sales[[#This Row],[Purchase Amount]]&gt;0,"Yes","No")</f>
        <v>Yes</v>
      </c>
    </row>
    <row r="117" spans="1:10" x14ac:dyDescent="0.2">
      <c r="A117" s="3" t="s">
        <v>498</v>
      </c>
      <c r="B117" s="3" t="s">
        <v>499</v>
      </c>
      <c r="C117" s="3" t="s">
        <v>500</v>
      </c>
      <c r="D117" s="3" t="s">
        <v>501</v>
      </c>
      <c r="E117" s="3" t="s">
        <v>172</v>
      </c>
      <c r="F117" s="3" t="s">
        <v>231</v>
      </c>
      <c r="G117" s="3" t="s">
        <v>100</v>
      </c>
      <c r="H117" s="4">
        <v>45282</v>
      </c>
      <c r="I117" s="7">
        <v>775</v>
      </c>
      <c r="J117" s="3" t="str">
        <f>IF(Sales[[#This Row],[Purchase Amount]]&gt;0,"Yes","No")</f>
        <v>Yes</v>
      </c>
    </row>
    <row r="118" spans="1:10" x14ac:dyDescent="0.2">
      <c r="A118" s="3" t="s">
        <v>502</v>
      </c>
      <c r="B118" s="3" t="s">
        <v>414</v>
      </c>
      <c r="C118" s="3" t="s">
        <v>415</v>
      </c>
      <c r="D118" s="3" t="s">
        <v>416</v>
      </c>
      <c r="E118" s="3" t="s">
        <v>118</v>
      </c>
      <c r="F118" s="3" t="s">
        <v>294</v>
      </c>
      <c r="G118" s="3" t="s">
        <v>102</v>
      </c>
      <c r="H118" s="4">
        <v>45282</v>
      </c>
      <c r="I118" s="7">
        <v>1315</v>
      </c>
      <c r="J118" s="3" t="str">
        <f>IF(Sales[[#This Row],[Purchase Amount]]&gt;0,"Yes","No")</f>
        <v>Yes</v>
      </c>
    </row>
    <row r="119" spans="1:10" x14ac:dyDescent="0.2">
      <c r="A119" s="3" t="s">
        <v>503</v>
      </c>
      <c r="B119" s="3" t="s">
        <v>462</v>
      </c>
      <c r="C119" s="3" t="s">
        <v>463</v>
      </c>
      <c r="D119" s="3" t="s">
        <v>464</v>
      </c>
      <c r="E119" s="3" t="s">
        <v>198</v>
      </c>
      <c r="F119" s="3" t="s">
        <v>504</v>
      </c>
      <c r="G119" s="3" t="s">
        <v>100</v>
      </c>
      <c r="H119" s="4">
        <v>45282</v>
      </c>
      <c r="I119" s="7">
        <v>1720</v>
      </c>
      <c r="J119" s="3" t="str">
        <f>IF(Sales[[#This Row],[Purchase Amount]]&gt;0,"Yes","No")</f>
        <v>Yes</v>
      </c>
    </row>
    <row r="120" spans="1:10" x14ac:dyDescent="0.2">
      <c r="A120" s="3" t="s">
        <v>505</v>
      </c>
      <c r="B120" s="3" t="s">
        <v>371</v>
      </c>
      <c r="C120" s="3" t="s">
        <v>372</v>
      </c>
      <c r="D120" s="3" t="s">
        <v>373</v>
      </c>
      <c r="E120" s="3" t="s">
        <v>374</v>
      </c>
      <c r="F120" s="3" t="s">
        <v>465</v>
      </c>
      <c r="G120" s="3" t="s">
        <v>102</v>
      </c>
      <c r="H120" s="4">
        <v>45283</v>
      </c>
      <c r="I120" s="7"/>
      <c r="J120" s="3" t="str">
        <f>IF(Sales[[#This Row],[Purchase Amount]]&gt;0,"Yes","No")</f>
        <v>No</v>
      </c>
    </row>
    <row r="121" spans="1:10" x14ac:dyDescent="0.2">
      <c r="A121" s="3" t="s">
        <v>506</v>
      </c>
      <c r="B121" s="3" t="s">
        <v>322</v>
      </c>
      <c r="C121" s="3" t="s">
        <v>323</v>
      </c>
      <c r="D121" s="3" t="s">
        <v>324</v>
      </c>
      <c r="E121" s="3" t="s">
        <v>198</v>
      </c>
      <c r="F121" s="3" t="s">
        <v>431</v>
      </c>
      <c r="G121" s="3" t="s">
        <v>101</v>
      </c>
      <c r="H121" s="4">
        <v>45283</v>
      </c>
      <c r="I121" s="7">
        <v>170</v>
      </c>
      <c r="J121" s="3" t="str">
        <f>IF(Sales[[#This Row],[Purchase Amount]]&gt;0,"Yes","No")</f>
        <v>Yes</v>
      </c>
    </row>
    <row r="122" spans="1:10" x14ac:dyDescent="0.2">
      <c r="A122" s="3" t="s">
        <v>507</v>
      </c>
      <c r="B122" s="3" t="s">
        <v>91</v>
      </c>
      <c r="C122" s="3" t="s">
        <v>133</v>
      </c>
      <c r="D122" s="3" t="s">
        <v>134</v>
      </c>
      <c r="E122" s="3" t="s">
        <v>135</v>
      </c>
      <c r="F122" s="3" t="s">
        <v>157</v>
      </c>
      <c r="G122" s="3" t="s">
        <v>101</v>
      </c>
      <c r="H122" s="4">
        <v>45284</v>
      </c>
      <c r="I122" s="7"/>
      <c r="J122" s="3" t="str">
        <f>IF(Sales[[#This Row],[Purchase Amount]]&gt;0,"Yes","No")</f>
        <v>No</v>
      </c>
    </row>
    <row r="123" spans="1:10" x14ac:dyDescent="0.2">
      <c r="A123" s="3" t="s">
        <v>508</v>
      </c>
      <c r="B123" s="3" t="s">
        <v>257</v>
      </c>
      <c r="C123" s="3" t="s">
        <v>258</v>
      </c>
      <c r="D123" s="3" t="s">
        <v>259</v>
      </c>
      <c r="E123" s="3" t="s">
        <v>244</v>
      </c>
      <c r="F123" s="3" t="s">
        <v>320</v>
      </c>
      <c r="G123" s="3" t="s">
        <v>101</v>
      </c>
      <c r="H123" s="4">
        <v>45284</v>
      </c>
      <c r="I123" s="7">
        <v>395</v>
      </c>
      <c r="J123" s="3" t="str">
        <f>IF(Sales[[#This Row],[Purchase Amount]]&gt;0,"Yes","No")</f>
        <v>Yes</v>
      </c>
    </row>
    <row r="124" spans="1:10" x14ac:dyDescent="0.2">
      <c r="A124" s="3" t="s">
        <v>509</v>
      </c>
      <c r="B124" s="3" t="s">
        <v>222</v>
      </c>
      <c r="C124" s="3" t="s">
        <v>223</v>
      </c>
      <c r="D124" s="3" t="s">
        <v>224</v>
      </c>
      <c r="E124" s="3" t="s">
        <v>172</v>
      </c>
      <c r="F124" s="3" t="s">
        <v>325</v>
      </c>
      <c r="G124" s="3" t="s">
        <v>101</v>
      </c>
      <c r="H124" s="4">
        <v>45284</v>
      </c>
      <c r="I124" s="7">
        <v>1030</v>
      </c>
      <c r="J124" s="3" t="str">
        <f>IF(Sales[[#This Row],[Purchase Amount]]&gt;0,"Yes","No")</f>
        <v>Yes</v>
      </c>
    </row>
    <row r="125" spans="1:10" x14ac:dyDescent="0.2">
      <c r="A125" s="3" t="s">
        <v>510</v>
      </c>
      <c r="B125" s="3" t="s">
        <v>195</v>
      </c>
      <c r="C125" s="3" t="s">
        <v>196</v>
      </c>
      <c r="D125" s="3" t="s">
        <v>197</v>
      </c>
      <c r="E125" s="3" t="s">
        <v>198</v>
      </c>
      <c r="F125" s="3" t="s">
        <v>193</v>
      </c>
      <c r="G125" s="3" t="s">
        <v>102</v>
      </c>
      <c r="H125" s="4">
        <v>45284</v>
      </c>
      <c r="I125" s="7">
        <v>1235</v>
      </c>
      <c r="J125" s="3" t="str">
        <f>IF(Sales[[#This Row],[Purchase Amount]]&gt;0,"Yes","No")</f>
        <v>Yes</v>
      </c>
    </row>
    <row r="126" spans="1:10" x14ac:dyDescent="0.2">
      <c r="A126" s="3" t="s">
        <v>511</v>
      </c>
      <c r="B126" s="3" t="s">
        <v>338</v>
      </c>
      <c r="C126" s="3" t="s">
        <v>339</v>
      </c>
      <c r="D126" s="3" t="s">
        <v>340</v>
      </c>
      <c r="E126" s="3" t="s">
        <v>172</v>
      </c>
      <c r="F126" s="3" t="s">
        <v>512</v>
      </c>
      <c r="G126" s="3" t="s">
        <v>102</v>
      </c>
      <c r="H126" s="4">
        <v>45284</v>
      </c>
      <c r="I126" s="7">
        <v>700</v>
      </c>
      <c r="J126" s="3" t="str">
        <f>IF(Sales[[#This Row],[Purchase Amount]]&gt;0,"Yes","No")</f>
        <v>Yes</v>
      </c>
    </row>
    <row r="127" spans="1:10" x14ac:dyDescent="0.2">
      <c r="A127" s="3" t="s">
        <v>513</v>
      </c>
      <c r="B127" s="3" t="s">
        <v>148</v>
      </c>
      <c r="C127" s="3" t="s">
        <v>149</v>
      </c>
      <c r="D127" s="3" t="s">
        <v>150</v>
      </c>
      <c r="E127" s="3" t="s">
        <v>151</v>
      </c>
      <c r="F127" s="3" t="s">
        <v>119</v>
      </c>
      <c r="G127" s="3" t="s">
        <v>99</v>
      </c>
      <c r="H127" s="4">
        <v>45285</v>
      </c>
      <c r="I127" s="7"/>
      <c r="J127" s="3" t="str">
        <f>IF(Sales[[#This Row],[Purchase Amount]]&gt;0,"Yes","No")</f>
        <v>No</v>
      </c>
    </row>
    <row r="128" spans="1:10" x14ac:dyDescent="0.2">
      <c r="A128" s="3" t="s">
        <v>514</v>
      </c>
      <c r="B128" s="3" t="s">
        <v>213</v>
      </c>
      <c r="C128" s="3" t="s">
        <v>214</v>
      </c>
      <c r="D128" s="3" t="s">
        <v>215</v>
      </c>
      <c r="E128" s="3" t="s">
        <v>124</v>
      </c>
      <c r="F128" s="3" t="s">
        <v>481</v>
      </c>
      <c r="G128" s="3" t="s">
        <v>101</v>
      </c>
      <c r="H128" s="4">
        <v>45285</v>
      </c>
      <c r="I128" s="7">
        <v>1135</v>
      </c>
      <c r="J128" s="3" t="str">
        <f>IF(Sales[[#This Row],[Purchase Amount]]&gt;0,"Yes","No")</f>
        <v>Yes</v>
      </c>
    </row>
    <row r="129" spans="1:10" x14ac:dyDescent="0.2">
      <c r="A129" s="3" t="s">
        <v>515</v>
      </c>
      <c r="B129" s="3" t="s">
        <v>300</v>
      </c>
      <c r="C129" s="3" t="s">
        <v>301</v>
      </c>
      <c r="D129" s="3" t="s">
        <v>302</v>
      </c>
      <c r="E129" s="3" t="s">
        <v>198</v>
      </c>
      <c r="F129" s="3" t="s">
        <v>225</v>
      </c>
      <c r="G129" s="3" t="s">
        <v>102</v>
      </c>
      <c r="H129" s="4">
        <v>45285</v>
      </c>
      <c r="I129" s="7">
        <v>225</v>
      </c>
      <c r="J129" s="3" t="str">
        <f>IF(Sales[[#This Row],[Purchase Amount]]&gt;0,"Yes","No")</f>
        <v>Yes</v>
      </c>
    </row>
    <row r="130" spans="1:10" x14ac:dyDescent="0.2">
      <c r="A130" s="3" t="s">
        <v>516</v>
      </c>
      <c r="B130" s="3" t="s">
        <v>175</v>
      </c>
      <c r="C130" s="3" t="s">
        <v>176</v>
      </c>
      <c r="D130" s="3" t="s">
        <v>177</v>
      </c>
      <c r="E130" s="3" t="s">
        <v>118</v>
      </c>
      <c r="F130" s="3" t="s">
        <v>388</v>
      </c>
      <c r="G130" s="3" t="s">
        <v>102</v>
      </c>
      <c r="H130" s="4">
        <v>45286</v>
      </c>
      <c r="I130" s="7"/>
      <c r="J130" s="3" t="str">
        <f>IF(Sales[[#This Row],[Purchase Amount]]&gt;0,"Yes","No")</f>
        <v>No</v>
      </c>
    </row>
    <row r="131" spans="1:10" x14ac:dyDescent="0.2">
      <c r="A131" s="3" t="s">
        <v>517</v>
      </c>
      <c r="B131" s="3" t="s">
        <v>189</v>
      </c>
      <c r="C131" s="3" t="s">
        <v>190</v>
      </c>
      <c r="D131" s="3" t="s">
        <v>191</v>
      </c>
      <c r="E131" s="3" t="s">
        <v>192</v>
      </c>
      <c r="F131" s="3" t="s">
        <v>157</v>
      </c>
      <c r="G131" s="3" t="s">
        <v>100</v>
      </c>
      <c r="H131" s="4">
        <v>45286</v>
      </c>
      <c r="I131" s="7">
        <v>760</v>
      </c>
      <c r="J131" s="3" t="str">
        <f>IF(Sales[[#This Row],[Purchase Amount]]&gt;0,"Yes","No")</f>
        <v>Yes</v>
      </c>
    </row>
    <row r="132" spans="1:10" x14ac:dyDescent="0.2">
      <c r="A132" s="3" t="s">
        <v>518</v>
      </c>
      <c r="B132" s="3" t="s">
        <v>519</v>
      </c>
      <c r="C132" s="3" t="s">
        <v>520</v>
      </c>
      <c r="D132" s="3" t="s">
        <v>521</v>
      </c>
      <c r="E132" s="3" t="s">
        <v>118</v>
      </c>
      <c r="F132" s="3" t="s">
        <v>388</v>
      </c>
      <c r="G132" s="3" t="s">
        <v>100</v>
      </c>
      <c r="H132" s="4">
        <v>45286</v>
      </c>
      <c r="I132" s="7">
        <v>30</v>
      </c>
      <c r="J132" s="3" t="str">
        <f>IF(Sales[[#This Row],[Purchase Amount]]&gt;0,"Yes","No")</f>
        <v>Yes</v>
      </c>
    </row>
    <row r="133" spans="1:10" x14ac:dyDescent="0.2">
      <c r="A133" s="3" t="s">
        <v>522</v>
      </c>
      <c r="B133" s="3" t="s">
        <v>523</v>
      </c>
      <c r="C133" s="3" t="s">
        <v>524</v>
      </c>
      <c r="D133" s="3" t="s">
        <v>525</v>
      </c>
      <c r="E133" s="3" t="s">
        <v>124</v>
      </c>
      <c r="F133" s="3" t="s">
        <v>231</v>
      </c>
      <c r="G133" s="3" t="s">
        <v>100</v>
      </c>
      <c r="H133" s="4">
        <v>45286</v>
      </c>
      <c r="I133" s="7">
        <v>1120</v>
      </c>
      <c r="J133" s="3" t="str">
        <f>IF(Sales[[#This Row],[Purchase Amount]]&gt;0,"Yes","No")</f>
        <v>Yes</v>
      </c>
    </row>
    <row r="134" spans="1:10" x14ac:dyDescent="0.2">
      <c r="A134" s="3" t="s">
        <v>526</v>
      </c>
      <c r="B134" s="3" t="s">
        <v>115</v>
      </c>
      <c r="C134" s="3" t="s">
        <v>116</v>
      </c>
      <c r="D134" s="3" t="s">
        <v>117</v>
      </c>
      <c r="E134" s="3" t="s">
        <v>118</v>
      </c>
      <c r="F134" s="3" t="s">
        <v>225</v>
      </c>
      <c r="G134" s="3" t="s">
        <v>102</v>
      </c>
      <c r="H134" s="4">
        <v>45286</v>
      </c>
      <c r="I134" s="7">
        <v>315</v>
      </c>
      <c r="J134" s="3" t="str">
        <f>IF(Sales[[#This Row],[Purchase Amount]]&gt;0,"Yes","No")</f>
        <v>Yes</v>
      </c>
    </row>
    <row r="135" spans="1:10" x14ac:dyDescent="0.2">
      <c r="A135" s="3" t="s">
        <v>527</v>
      </c>
      <c r="B135" s="3" t="s">
        <v>264</v>
      </c>
      <c r="C135" s="3" t="s">
        <v>265</v>
      </c>
      <c r="D135" s="3" t="s">
        <v>266</v>
      </c>
      <c r="E135" s="3" t="s">
        <v>192</v>
      </c>
      <c r="F135" s="3" t="s">
        <v>280</v>
      </c>
      <c r="G135" s="3" t="s">
        <v>102</v>
      </c>
      <c r="H135" s="4">
        <v>45286</v>
      </c>
      <c r="I135" s="7">
        <v>1365</v>
      </c>
      <c r="J135" s="3" t="str">
        <f>IF(Sales[[#This Row],[Purchase Amount]]&gt;0,"Yes","No")</f>
        <v>Yes</v>
      </c>
    </row>
    <row r="136" spans="1:10" x14ac:dyDescent="0.2">
      <c r="A136" s="3" t="s">
        <v>528</v>
      </c>
      <c r="B136" s="3" t="s">
        <v>282</v>
      </c>
      <c r="C136" s="3" t="s">
        <v>283</v>
      </c>
      <c r="D136" s="3" t="s">
        <v>284</v>
      </c>
      <c r="E136" s="3" t="s">
        <v>124</v>
      </c>
      <c r="F136" s="3" t="s">
        <v>529</v>
      </c>
      <c r="G136" s="3" t="s">
        <v>101</v>
      </c>
      <c r="H136" s="4">
        <v>45286</v>
      </c>
      <c r="I136" s="7">
        <v>225</v>
      </c>
      <c r="J136" s="3" t="str">
        <f>IF(Sales[[#This Row],[Purchase Amount]]&gt;0,"Yes","No")</f>
        <v>Yes</v>
      </c>
    </row>
    <row r="137" spans="1:10" x14ac:dyDescent="0.2">
      <c r="A137" s="3" t="s">
        <v>530</v>
      </c>
      <c r="B137" s="3" t="s">
        <v>531</v>
      </c>
      <c r="C137" s="3" t="s">
        <v>532</v>
      </c>
      <c r="D137" s="3" t="s">
        <v>533</v>
      </c>
      <c r="E137" s="3" t="s">
        <v>124</v>
      </c>
      <c r="F137" s="3" t="s">
        <v>262</v>
      </c>
      <c r="G137" s="3" t="s">
        <v>100</v>
      </c>
      <c r="H137" s="4">
        <v>45286</v>
      </c>
      <c r="I137" s="7">
        <v>780</v>
      </c>
      <c r="J137" s="3" t="str">
        <f>IF(Sales[[#This Row],[Purchase Amount]]&gt;0,"Yes","No")</f>
        <v>Yes</v>
      </c>
    </row>
    <row r="138" spans="1:10" x14ac:dyDescent="0.2">
      <c r="A138" s="3" t="s">
        <v>534</v>
      </c>
      <c r="B138" s="3" t="s">
        <v>456</v>
      </c>
      <c r="C138" s="3" t="s">
        <v>457</v>
      </c>
      <c r="D138" s="3" t="s">
        <v>458</v>
      </c>
      <c r="E138" s="3" t="s">
        <v>130</v>
      </c>
      <c r="F138" s="3" t="s">
        <v>294</v>
      </c>
      <c r="G138" s="3" t="s">
        <v>101</v>
      </c>
      <c r="H138" s="4">
        <v>45287</v>
      </c>
      <c r="I138" s="7"/>
      <c r="J138" s="3" t="str">
        <f>IF(Sales[[#This Row],[Purchase Amount]]&gt;0,"Yes","No")</f>
        <v>No</v>
      </c>
    </row>
    <row r="139" spans="1:10" x14ac:dyDescent="0.2">
      <c r="A139" s="3" t="s">
        <v>535</v>
      </c>
      <c r="B139" s="3" t="s">
        <v>148</v>
      </c>
      <c r="C139" s="3" t="s">
        <v>149</v>
      </c>
      <c r="D139" s="3" t="s">
        <v>150</v>
      </c>
      <c r="E139" s="3" t="s">
        <v>151</v>
      </c>
      <c r="F139" s="3" t="s">
        <v>536</v>
      </c>
      <c r="G139" s="3" t="s">
        <v>101</v>
      </c>
      <c r="H139" s="4">
        <v>45287</v>
      </c>
      <c r="I139" s="7"/>
      <c r="J139" s="3" t="str">
        <f>IF(Sales[[#This Row],[Purchase Amount]]&gt;0,"Yes","No")</f>
        <v>No</v>
      </c>
    </row>
    <row r="140" spans="1:10" x14ac:dyDescent="0.2">
      <c r="A140" s="3" t="s">
        <v>537</v>
      </c>
      <c r="B140" s="3" t="s">
        <v>538</v>
      </c>
      <c r="C140" s="3" t="s">
        <v>539</v>
      </c>
      <c r="D140" s="3" t="s">
        <v>540</v>
      </c>
      <c r="E140" s="3" t="s">
        <v>118</v>
      </c>
      <c r="F140" s="3" t="s">
        <v>260</v>
      </c>
      <c r="G140" s="3" t="s">
        <v>99</v>
      </c>
      <c r="H140" s="4">
        <v>45287</v>
      </c>
      <c r="I140" s="7"/>
      <c r="J140" s="3" t="str">
        <f>IF(Sales[[#This Row],[Purchase Amount]]&gt;0,"Yes","No")</f>
        <v>No</v>
      </c>
    </row>
    <row r="141" spans="1:10" x14ac:dyDescent="0.2">
      <c r="A141" s="3" t="s">
        <v>541</v>
      </c>
      <c r="B141" s="3" t="s">
        <v>542</v>
      </c>
      <c r="C141" s="3" t="s">
        <v>543</v>
      </c>
      <c r="D141" s="3" t="s">
        <v>544</v>
      </c>
      <c r="E141" s="3" t="s">
        <v>374</v>
      </c>
      <c r="F141" s="3" t="s">
        <v>431</v>
      </c>
      <c r="G141" s="3" t="s">
        <v>102</v>
      </c>
      <c r="H141" s="4">
        <v>45287</v>
      </c>
      <c r="I141" s="7">
        <v>450</v>
      </c>
      <c r="J141" s="3" t="str">
        <f>IF(Sales[[#This Row],[Purchase Amount]]&gt;0,"Yes","No")</f>
        <v>Yes</v>
      </c>
    </row>
    <row r="142" spans="1:10" x14ac:dyDescent="0.2">
      <c r="A142" s="3" t="s">
        <v>545</v>
      </c>
      <c r="B142" s="3" t="s">
        <v>349</v>
      </c>
      <c r="C142" s="3" t="s">
        <v>350</v>
      </c>
      <c r="D142" s="3" t="s">
        <v>351</v>
      </c>
      <c r="E142" s="3" t="s">
        <v>135</v>
      </c>
      <c r="F142" s="3" t="s">
        <v>162</v>
      </c>
      <c r="G142" s="3" t="s">
        <v>102</v>
      </c>
      <c r="H142" s="4">
        <v>45287</v>
      </c>
      <c r="I142" s="7">
        <v>765</v>
      </c>
      <c r="J142" s="3" t="str">
        <f>IF(Sales[[#This Row],[Purchase Amount]]&gt;0,"Yes","No")</f>
        <v>Yes</v>
      </c>
    </row>
    <row r="143" spans="1:10" x14ac:dyDescent="0.2">
      <c r="A143" s="3" t="s">
        <v>546</v>
      </c>
      <c r="B143" s="3" t="s">
        <v>419</v>
      </c>
      <c r="C143" s="3" t="s">
        <v>420</v>
      </c>
      <c r="D143" s="3" t="s">
        <v>421</v>
      </c>
      <c r="E143" s="3" t="s">
        <v>244</v>
      </c>
      <c r="F143" s="3" t="s">
        <v>136</v>
      </c>
      <c r="G143" s="3" t="s">
        <v>100</v>
      </c>
      <c r="H143" s="4">
        <v>45288</v>
      </c>
      <c r="I143" s="7"/>
      <c r="J143" s="3" t="str">
        <f>IF(Sales[[#This Row],[Purchase Amount]]&gt;0,"Yes","No")</f>
        <v>No</v>
      </c>
    </row>
    <row r="144" spans="1:10" x14ac:dyDescent="0.2">
      <c r="A144" s="3" t="s">
        <v>547</v>
      </c>
      <c r="B144" s="3" t="s">
        <v>202</v>
      </c>
      <c r="C144" s="3" t="s">
        <v>203</v>
      </c>
      <c r="D144" s="3" t="s">
        <v>204</v>
      </c>
      <c r="E144" s="3" t="s">
        <v>172</v>
      </c>
      <c r="F144" s="3" t="s">
        <v>320</v>
      </c>
      <c r="G144" s="3" t="s">
        <v>101</v>
      </c>
      <c r="H144" s="4">
        <v>45288</v>
      </c>
      <c r="I144" s="7"/>
      <c r="J144" s="3" t="str">
        <f>IF(Sales[[#This Row],[Purchase Amount]]&gt;0,"Yes","No")</f>
        <v>No</v>
      </c>
    </row>
    <row r="145" spans="1:10" x14ac:dyDescent="0.2">
      <c r="A145" s="3" t="s">
        <v>548</v>
      </c>
      <c r="B145" s="3" t="s">
        <v>189</v>
      </c>
      <c r="C145" s="3" t="s">
        <v>190</v>
      </c>
      <c r="D145" s="3" t="s">
        <v>191</v>
      </c>
      <c r="E145" s="3" t="s">
        <v>192</v>
      </c>
      <c r="F145" s="3" t="s">
        <v>549</v>
      </c>
      <c r="G145" s="3" t="s">
        <v>101</v>
      </c>
      <c r="H145" s="4">
        <v>45288</v>
      </c>
      <c r="I145" s="7"/>
      <c r="J145" s="3" t="str">
        <f>IF(Sales[[#This Row],[Purchase Amount]]&gt;0,"Yes","No")</f>
        <v>No</v>
      </c>
    </row>
    <row r="146" spans="1:10" x14ac:dyDescent="0.2">
      <c r="A146" s="3" t="s">
        <v>550</v>
      </c>
      <c r="B146" s="3" t="s">
        <v>185</v>
      </c>
      <c r="C146" s="3" t="s">
        <v>186</v>
      </c>
      <c r="D146" s="3" t="s">
        <v>187</v>
      </c>
      <c r="E146" s="3" t="s">
        <v>151</v>
      </c>
      <c r="F146" s="3" t="s">
        <v>388</v>
      </c>
      <c r="G146" s="3" t="s">
        <v>100</v>
      </c>
      <c r="H146" s="4">
        <v>45288</v>
      </c>
      <c r="I146" s="7">
        <v>1290</v>
      </c>
      <c r="J146" s="3" t="str">
        <f>IF(Sales[[#This Row],[Purchase Amount]]&gt;0,"Yes","No")</f>
        <v>Yes</v>
      </c>
    </row>
    <row r="147" spans="1:10" x14ac:dyDescent="0.2">
      <c r="A147" s="3" t="s">
        <v>551</v>
      </c>
      <c r="B147" s="3" t="s">
        <v>287</v>
      </c>
      <c r="C147" s="3" t="s">
        <v>288</v>
      </c>
      <c r="D147" s="3" t="s">
        <v>289</v>
      </c>
      <c r="E147" s="3" t="s">
        <v>151</v>
      </c>
      <c r="F147" s="3" t="s">
        <v>330</v>
      </c>
      <c r="G147" s="3" t="s">
        <v>99</v>
      </c>
      <c r="H147" s="4">
        <v>45289</v>
      </c>
      <c r="I147" s="7"/>
      <c r="J147" s="3" t="str">
        <f>IF(Sales[[#This Row],[Purchase Amount]]&gt;0,"Yes","No")</f>
        <v>No</v>
      </c>
    </row>
    <row r="148" spans="1:10" x14ac:dyDescent="0.2">
      <c r="A148" s="3" t="s">
        <v>552</v>
      </c>
      <c r="B148" s="3" t="s">
        <v>327</v>
      </c>
      <c r="C148" s="3" t="s">
        <v>328</v>
      </c>
      <c r="D148" s="3" t="s">
        <v>329</v>
      </c>
      <c r="E148" s="3" t="s">
        <v>135</v>
      </c>
      <c r="F148" s="3" t="s">
        <v>553</v>
      </c>
      <c r="G148" s="3" t="s">
        <v>100</v>
      </c>
      <c r="H148" s="4">
        <v>45289</v>
      </c>
      <c r="I148" s="7"/>
      <c r="J148" s="3" t="str">
        <f>IF(Sales[[#This Row],[Purchase Amount]]&gt;0,"Yes","No")</f>
        <v>No</v>
      </c>
    </row>
    <row r="149" spans="1:10" x14ac:dyDescent="0.2">
      <c r="A149" s="3" t="s">
        <v>554</v>
      </c>
      <c r="B149" s="3" t="s">
        <v>555</v>
      </c>
      <c r="C149" s="3" t="s">
        <v>556</v>
      </c>
      <c r="D149" s="3" t="s">
        <v>557</v>
      </c>
      <c r="E149" s="3" t="s">
        <v>172</v>
      </c>
      <c r="F149" s="3" t="s">
        <v>173</v>
      </c>
      <c r="G149" s="3" t="s">
        <v>102</v>
      </c>
      <c r="H149" s="4">
        <v>45289</v>
      </c>
      <c r="I149" s="7">
        <v>1275</v>
      </c>
      <c r="J149" s="3" t="str">
        <f>IF(Sales[[#This Row],[Purchase Amount]]&gt;0,"Yes","No")</f>
        <v>Yes</v>
      </c>
    </row>
    <row r="150" spans="1:10" x14ac:dyDescent="0.2">
      <c r="A150" s="3" t="s">
        <v>558</v>
      </c>
      <c r="B150" s="3" t="s">
        <v>300</v>
      </c>
      <c r="C150" s="3" t="s">
        <v>301</v>
      </c>
      <c r="D150" s="3" t="s">
        <v>302</v>
      </c>
      <c r="E150" s="3" t="s">
        <v>198</v>
      </c>
      <c r="F150" s="3" t="s">
        <v>162</v>
      </c>
      <c r="G150" s="3" t="s">
        <v>102</v>
      </c>
      <c r="H150" s="4">
        <v>45289</v>
      </c>
      <c r="I150" s="7">
        <v>690</v>
      </c>
      <c r="J150" s="3" t="str">
        <f>IF(Sales[[#This Row],[Purchase Amount]]&gt;0,"Yes","No")</f>
        <v>Yes</v>
      </c>
    </row>
    <row r="151" spans="1:10" x14ac:dyDescent="0.2">
      <c r="A151" s="3" t="s">
        <v>559</v>
      </c>
      <c r="B151" s="3" t="s">
        <v>291</v>
      </c>
      <c r="C151" s="3" t="s">
        <v>292</v>
      </c>
      <c r="D151" s="3" t="s">
        <v>293</v>
      </c>
      <c r="E151" s="3" t="s">
        <v>210</v>
      </c>
      <c r="F151" s="3" t="s">
        <v>173</v>
      </c>
      <c r="G151" s="3" t="s">
        <v>99</v>
      </c>
      <c r="H151" s="4">
        <v>45289</v>
      </c>
      <c r="I151" s="7">
        <v>2075</v>
      </c>
      <c r="J151" s="3" t="str">
        <f>IF(Sales[[#This Row],[Purchase Amount]]&gt;0,"Yes","No")</f>
        <v>Yes</v>
      </c>
    </row>
    <row r="152" spans="1:10" x14ac:dyDescent="0.2">
      <c r="A152" s="3" t="s">
        <v>560</v>
      </c>
      <c r="B152" s="3" t="s">
        <v>561</v>
      </c>
      <c r="C152" s="3" t="s">
        <v>562</v>
      </c>
      <c r="D152" s="3" t="s">
        <v>563</v>
      </c>
      <c r="E152" s="3" t="s">
        <v>118</v>
      </c>
      <c r="F152" s="3" t="s">
        <v>341</v>
      </c>
      <c r="G152" s="3" t="s">
        <v>101</v>
      </c>
      <c r="H152" s="4">
        <v>45289</v>
      </c>
      <c r="I152" s="7">
        <v>295</v>
      </c>
      <c r="J152" s="3" t="str">
        <f>IF(Sales[[#This Row],[Purchase Amount]]&gt;0,"Yes","No")</f>
        <v>Yes</v>
      </c>
    </row>
    <row r="153" spans="1:10" x14ac:dyDescent="0.2">
      <c r="A153" s="3" t="s">
        <v>564</v>
      </c>
      <c r="B153" s="3" t="s">
        <v>492</v>
      </c>
      <c r="C153" s="3" t="s">
        <v>493</v>
      </c>
      <c r="D153" s="3" t="s">
        <v>494</v>
      </c>
      <c r="E153" s="3" t="s">
        <v>130</v>
      </c>
      <c r="F153" s="3" t="s">
        <v>162</v>
      </c>
      <c r="G153" s="3" t="s">
        <v>101</v>
      </c>
      <c r="H153" s="4">
        <v>45289</v>
      </c>
      <c r="I153" s="7">
        <v>120</v>
      </c>
      <c r="J153" s="3" t="str">
        <f>IF(Sales[[#This Row],[Purchase Amount]]&gt;0,"Yes","No")</f>
        <v>Yes</v>
      </c>
    </row>
    <row r="154" spans="1:10" x14ac:dyDescent="0.2">
      <c r="A154" s="3" t="s">
        <v>565</v>
      </c>
      <c r="B154" s="3" t="s">
        <v>414</v>
      </c>
      <c r="C154" s="3" t="s">
        <v>415</v>
      </c>
      <c r="D154" s="3" t="s">
        <v>416</v>
      </c>
      <c r="E154" s="3" t="s">
        <v>118</v>
      </c>
      <c r="F154" s="3" t="s">
        <v>449</v>
      </c>
      <c r="G154" s="3" t="s">
        <v>101</v>
      </c>
      <c r="H154" s="4">
        <v>45289</v>
      </c>
      <c r="I154" s="7">
        <v>755</v>
      </c>
      <c r="J154" s="3" t="str">
        <f>IF(Sales[[#This Row],[Purchase Amount]]&gt;0,"Yes","No")</f>
        <v>Yes</v>
      </c>
    </row>
    <row r="155" spans="1:10" x14ac:dyDescent="0.2">
      <c r="A155" s="3" t="s">
        <v>566</v>
      </c>
      <c r="B155" s="3" t="s">
        <v>296</v>
      </c>
      <c r="C155" s="3" t="s">
        <v>297</v>
      </c>
      <c r="D155" s="3" t="s">
        <v>298</v>
      </c>
      <c r="E155" s="3" t="s">
        <v>135</v>
      </c>
      <c r="F155" s="3" t="s">
        <v>131</v>
      </c>
      <c r="G155" s="3" t="s">
        <v>101</v>
      </c>
      <c r="H155" s="4">
        <v>45289</v>
      </c>
      <c r="I155" s="7">
        <v>525</v>
      </c>
      <c r="J155" s="3" t="str">
        <f>IF(Sales[[#This Row],[Purchase Amount]]&gt;0,"Yes","No")</f>
        <v>Yes</v>
      </c>
    </row>
    <row r="156" spans="1:10" x14ac:dyDescent="0.2">
      <c r="A156" s="3" t="s">
        <v>567</v>
      </c>
      <c r="B156" s="3" t="s">
        <v>478</v>
      </c>
      <c r="C156" s="3" t="s">
        <v>479</v>
      </c>
      <c r="D156" s="3" t="s">
        <v>480</v>
      </c>
      <c r="E156" s="3" t="s">
        <v>124</v>
      </c>
      <c r="F156" s="3" t="s">
        <v>325</v>
      </c>
      <c r="G156" s="3" t="s">
        <v>99</v>
      </c>
      <c r="H156" s="4">
        <v>45290</v>
      </c>
      <c r="I156" s="7">
        <v>300</v>
      </c>
      <c r="J156" s="3" t="str">
        <f>IF(Sales[[#This Row],[Purchase Amount]]&gt;0,"Yes","No")</f>
        <v>Yes</v>
      </c>
    </row>
    <row r="157" spans="1:10" x14ac:dyDescent="0.2">
      <c r="A157" s="3" t="s">
        <v>568</v>
      </c>
      <c r="B157" s="3" t="s">
        <v>305</v>
      </c>
      <c r="C157" s="3" t="s">
        <v>306</v>
      </c>
      <c r="D157" s="3" t="s">
        <v>307</v>
      </c>
      <c r="E157" s="3" t="s">
        <v>130</v>
      </c>
      <c r="F157" s="3" t="s">
        <v>245</v>
      </c>
      <c r="G157" s="3" t="s">
        <v>101</v>
      </c>
      <c r="H157" s="4">
        <v>45290</v>
      </c>
      <c r="I157" s="7">
        <v>1540</v>
      </c>
      <c r="J157" s="3" t="str">
        <f>IF(Sales[[#This Row],[Purchase Amount]]&gt;0,"Yes","No")</f>
        <v>Yes</v>
      </c>
    </row>
    <row r="158" spans="1:10" x14ac:dyDescent="0.2">
      <c r="A158" s="3" t="s">
        <v>569</v>
      </c>
      <c r="B158" s="3" t="s">
        <v>164</v>
      </c>
      <c r="C158" s="3" t="s">
        <v>165</v>
      </c>
      <c r="D158" s="3" t="s">
        <v>166</v>
      </c>
      <c r="E158" s="3" t="s">
        <v>130</v>
      </c>
      <c r="F158" s="3" t="s">
        <v>431</v>
      </c>
      <c r="G158" s="3" t="s">
        <v>102</v>
      </c>
      <c r="H158" s="4">
        <v>45290</v>
      </c>
      <c r="I158" s="7">
        <v>400</v>
      </c>
      <c r="J158" s="3" t="str">
        <f>IF(Sales[[#This Row],[Purchase Amount]]&gt;0,"Yes","No")</f>
        <v>Yes</v>
      </c>
    </row>
    <row r="159" spans="1:10" x14ac:dyDescent="0.2">
      <c r="A159" s="3" t="s">
        <v>570</v>
      </c>
      <c r="B159" s="3" t="s">
        <v>467</v>
      </c>
      <c r="C159" s="3" t="s">
        <v>468</v>
      </c>
      <c r="D159" s="3" t="s">
        <v>469</v>
      </c>
      <c r="E159" s="3" t="s">
        <v>118</v>
      </c>
      <c r="F159" s="3" t="s">
        <v>406</v>
      </c>
      <c r="G159" s="3" t="s">
        <v>101</v>
      </c>
      <c r="H159" s="4">
        <v>45290</v>
      </c>
      <c r="I159" s="7">
        <v>375</v>
      </c>
      <c r="J159" s="3" t="str">
        <f>IF(Sales[[#This Row],[Purchase Amount]]&gt;0,"Yes","No")</f>
        <v>Yes</v>
      </c>
    </row>
    <row r="160" spans="1:10" x14ac:dyDescent="0.2">
      <c r="A160" s="3" t="s">
        <v>571</v>
      </c>
      <c r="B160" s="3" t="s">
        <v>362</v>
      </c>
      <c r="C160" s="3" t="s">
        <v>363</v>
      </c>
      <c r="D160" s="3" t="s">
        <v>364</v>
      </c>
      <c r="E160" s="3" t="s">
        <v>130</v>
      </c>
      <c r="F160" s="3" t="s">
        <v>255</v>
      </c>
      <c r="G160" s="3" t="s">
        <v>102</v>
      </c>
      <c r="H160" s="4">
        <v>45291</v>
      </c>
      <c r="I160" s="7"/>
      <c r="J160" s="3" t="str">
        <f>IF(Sales[[#This Row],[Purchase Amount]]&gt;0,"Yes","No")</f>
        <v>No</v>
      </c>
    </row>
    <row r="161" spans="1:10" x14ac:dyDescent="0.2">
      <c r="A161" s="3" t="s">
        <v>572</v>
      </c>
      <c r="B161" s="3" t="s">
        <v>91</v>
      </c>
      <c r="C161" s="3" t="s">
        <v>133</v>
      </c>
      <c r="D161" s="3" t="s">
        <v>134</v>
      </c>
      <c r="E161" s="3" t="s">
        <v>135</v>
      </c>
      <c r="F161" s="3" t="s">
        <v>250</v>
      </c>
      <c r="G161" s="3" t="s">
        <v>100</v>
      </c>
      <c r="H161" s="4">
        <v>45291</v>
      </c>
      <c r="I161" s="7">
        <v>190</v>
      </c>
      <c r="J161" s="3" t="str">
        <f>IF(Sales[[#This Row],[Purchase Amount]]&gt;0,"Yes","No")</f>
        <v>Yes</v>
      </c>
    </row>
    <row r="162" spans="1:10" x14ac:dyDescent="0.2">
      <c r="A162" s="3" t="s">
        <v>573</v>
      </c>
      <c r="B162" s="3" t="s">
        <v>523</v>
      </c>
      <c r="C162" s="3" t="s">
        <v>524</v>
      </c>
      <c r="D162" s="3" t="s">
        <v>525</v>
      </c>
      <c r="E162" s="3" t="s">
        <v>124</v>
      </c>
      <c r="F162" s="3" t="s">
        <v>250</v>
      </c>
      <c r="G162" s="3" t="s">
        <v>101</v>
      </c>
      <c r="H162" s="4">
        <v>45291</v>
      </c>
      <c r="I162" s="7">
        <v>515</v>
      </c>
      <c r="J162" s="3" t="str">
        <f>IF(Sales[[#This Row],[Purchase Amount]]&gt;0,"Yes","No")</f>
        <v>Yes</v>
      </c>
    </row>
    <row r="163" spans="1:10" x14ac:dyDescent="0.2">
      <c r="A163" s="3" t="s">
        <v>574</v>
      </c>
      <c r="B163" s="3" t="s">
        <v>247</v>
      </c>
      <c r="C163" s="3" t="s">
        <v>248</v>
      </c>
      <c r="D163" s="3" t="s">
        <v>249</v>
      </c>
      <c r="E163" s="3" t="s">
        <v>118</v>
      </c>
      <c r="F163" s="3" t="s">
        <v>131</v>
      </c>
      <c r="G163" s="3" t="s">
        <v>100</v>
      </c>
      <c r="H163" s="4">
        <v>45292</v>
      </c>
      <c r="I163" s="7"/>
      <c r="J163" s="3" t="str">
        <f>IF(Sales[[#This Row],[Purchase Amount]]&gt;0,"Yes","No")</f>
        <v>No</v>
      </c>
    </row>
    <row r="164" spans="1:10" x14ac:dyDescent="0.2">
      <c r="A164" s="3" t="s">
        <v>575</v>
      </c>
      <c r="B164" s="3" t="s">
        <v>576</v>
      </c>
      <c r="C164" s="3" t="s">
        <v>577</v>
      </c>
      <c r="D164" s="3" t="s">
        <v>578</v>
      </c>
      <c r="E164" s="3" t="s">
        <v>210</v>
      </c>
      <c r="F164" s="3" t="s">
        <v>239</v>
      </c>
      <c r="G164" s="3" t="s">
        <v>102</v>
      </c>
      <c r="H164" s="4">
        <v>45292</v>
      </c>
      <c r="I164" s="7">
        <v>85</v>
      </c>
      <c r="J164" s="3" t="str">
        <f>IF(Sales[[#This Row],[Purchase Amount]]&gt;0,"Yes","No")</f>
        <v>Yes</v>
      </c>
    </row>
    <row r="165" spans="1:10" x14ac:dyDescent="0.2">
      <c r="A165" s="3" t="s">
        <v>579</v>
      </c>
      <c r="B165" s="3" t="s">
        <v>561</v>
      </c>
      <c r="C165" s="3" t="s">
        <v>562</v>
      </c>
      <c r="D165" s="3" t="s">
        <v>563</v>
      </c>
      <c r="E165" s="3" t="s">
        <v>118</v>
      </c>
      <c r="F165" s="3" t="s">
        <v>173</v>
      </c>
      <c r="G165" s="3" t="s">
        <v>101</v>
      </c>
      <c r="H165" s="4">
        <v>45292</v>
      </c>
      <c r="I165" s="7">
        <v>125</v>
      </c>
      <c r="J165" s="3" t="str">
        <f>IF(Sales[[#This Row],[Purchase Amount]]&gt;0,"Yes","No")</f>
        <v>Yes</v>
      </c>
    </row>
    <row r="166" spans="1:10" x14ac:dyDescent="0.2">
      <c r="A166" s="3" t="s">
        <v>580</v>
      </c>
      <c r="B166" s="3" t="s">
        <v>462</v>
      </c>
      <c r="C166" s="3" t="s">
        <v>463</v>
      </c>
      <c r="D166" s="3" t="s">
        <v>464</v>
      </c>
      <c r="E166" s="3" t="s">
        <v>198</v>
      </c>
      <c r="F166" s="3" t="s">
        <v>157</v>
      </c>
      <c r="G166" s="3" t="s">
        <v>102</v>
      </c>
      <c r="H166" s="4">
        <v>45293</v>
      </c>
      <c r="I166" s="7"/>
      <c r="J166" s="3" t="str">
        <f>IF(Sales[[#This Row],[Purchase Amount]]&gt;0,"Yes","No")</f>
        <v>No</v>
      </c>
    </row>
    <row r="167" spans="1:10" x14ac:dyDescent="0.2">
      <c r="A167" s="3" t="s">
        <v>581</v>
      </c>
      <c r="B167" s="3" t="s">
        <v>148</v>
      </c>
      <c r="C167" s="3" t="s">
        <v>149</v>
      </c>
      <c r="D167" s="3" t="s">
        <v>150</v>
      </c>
      <c r="E167" s="3" t="s">
        <v>151</v>
      </c>
      <c r="F167" s="3" t="s">
        <v>365</v>
      </c>
      <c r="G167" s="3" t="s">
        <v>101</v>
      </c>
      <c r="H167" s="4">
        <v>45293</v>
      </c>
      <c r="I167" s="7">
        <v>565</v>
      </c>
      <c r="J167" s="3" t="str">
        <f>IF(Sales[[#This Row],[Purchase Amount]]&gt;0,"Yes","No")</f>
        <v>Yes</v>
      </c>
    </row>
    <row r="168" spans="1:10" x14ac:dyDescent="0.2">
      <c r="A168" s="3" t="s">
        <v>582</v>
      </c>
      <c r="B168" s="3" t="s">
        <v>91</v>
      </c>
      <c r="C168" s="3" t="s">
        <v>133</v>
      </c>
      <c r="D168" s="3" t="s">
        <v>134</v>
      </c>
      <c r="E168" s="3" t="s">
        <v>135</v>
      </c>
      <c r="F168" s="3" t="s">
        <v>583</v>
      </c>
      <c r="G168" s="3" t="s">
        <v>101</v>
      </c>
      <c r="H168" s="4">
        <v>45293</v>
      </c>
      <c r="I168" s="7">
        <v>835</v>
      </c>
      <c r="J168" s="3" t="str">
        <f>IF(Sales[[#This Row],[Purchase Amount]]&gt;0,"Yes","No")</f>
        <v>Yes</v>
      </c>
    </row>
    <row r="169" spans="1:10" x14ac:dyDescent="0.2">
      <c r="A169" s="3" t="s">
        <v>584</v>
      </c>
      <c r="B169" s="3" t="s">
        <v>338</v>
      </c>
      <c r="C169" s="3" t="s">
        <v>339</v>
      </c>
      <c r="D169" s="3" t="s">
        <v>340</v>
      </c>
      <c r="E169" s="3" t="s">
        <v>172</v>
      </c>
      <c r="F169" s="3" t="s">
        <v>275</v>
      </c>
      <c r="G169" s="3" t="s">
        <v>102</v>
      </c>
      <c r="H169" s="4">
        <v>45293</v>
      </c>
      <c r="I169" s="7">
        <v>175</v>
      </c>
      <c r="J169" s="3" t="str">
        <f>IF(Sales[[#This Row],[Purchase Amount]]&gt;0,"Yes","No")</f>
        <v>Yes</v>
      </c>
    </row>
    <row r="170" spans="1:10" x14ac:dyDescent="0.2">
      <c r="A170" s="3" t="s">
        <v>585</v>
      </c>
      <c r="B170" s="3" t="s">
        <v>343</v>
      </c>
      <c r="C170" s="3" t="s">
        <v>344</v>
      </c>
      <c r="D170" s="3" t="s">
        <v>345</v>
      </c>
      <c r="E170" s="3" t="s">
        <v>124</v>
      </c>
      <c r="F170" s="3" t="s">
        <v>220</v>
      </c>
      <c r="G170" s="3" t="s">
        <v>102</v>
      </c>
      <c r="H170" s="4">
        <v>45293</v>
      </c>
      <c r="I170" s="7">
        <v>260</v>
      </c>
      <c r="J170" s="3" t="str">
        <f>IF(Sales[[#This Row],[Purchase Amount]]&gt;0,"Yes","No")</f>
        <v>Yes</v>
      </c>
    </row>
    <row r="171" spans="1:10" x14ac:dyDescent="0.2">
      <c r="A171" s="3" t="s">
        <v>586</v>
      </c>
      <c r="B171" s="3" t="s">
        <v>377</v>
      </c>
      <c r="C171" s="3" t="s">
        <v>378</v>
      </c>
      <c r="D171" s="3" t="s">
        <v>379</v>
      </c>
      <c r="E171" s="3" t="s">
        <v>151</v>
      </c>
      <c r="F171" s="3" t="s">
        <v>285</v>
      </c>
      <c r="G171" s="3" t="s">
        <v>100</v>
      </c>
      <c r="H171" s="4">
        <v>45293</v>
      </c>
      <c r="I171" s="7">
        <v>1175</v>
      </c>
      <c r="J171" s="3" t="str">
        <f>IF(Sales[[#This Row],[Purchase Amount]]&gt;0,"Yes","No")</f>
        <v>Yes</v>
      </c>
    </row>
    <row r="172" spans="1:10" x14ac:dyDescent="0.2">
      <c r="A172" s="3" t="s">
        <v>587</v>
      </c>
      <c r="B172" s="3" t="s">
        <v>241</v>
      </c>
      <c r="C172" s="3" t="s">
        <v>242</v>
      </c>
      <c r="D172" s="3" t="s">
        <v>243</v>
      </c>
      <c r="E172" s="3" t="s">
        <v>244</v>
      </c>
      <c r="F172" s="3" t="s">
        <v>431</v>
      </c>
      <c r="G172" s="3" t="s">
        <v>101</v>
      </c>
      <c r="H172" s="4">
        <v>45293</v>
      </c>
      <c r="I172" s="7">
        <v>770</v>
      </c>
      <c r="J172" s="3" t="str">
        <f>IF(Sales[[#This Row],[Purchase Amount]]&gt;0,"Yes","No")</f>
        <v>Yes</v>
      </c>
    </row>
    <row r="173" spans="1:10" x14ac:dyDescent="0.2">
      <c r="A173" s="3" t="s">
        <v>588</v>
      </c>
      <c r="B173" s="3" t="s">
        <v>327</v>
      </c>
      <c r="C173" s="3" t="s">
        <v>328</v>
      </c>
      <c r="D173" s="3" t="s">
        <v>329</v>
      </c>
      <c r="E173" s="3" t="s">
        <v>135</v>
      </c>
      <c r="F173" s="3" t="s">
        <v>250</v>
      </c>
      <c r="G173" s="3" t="s">
        <v>99</v>
      </c>
      <c r="H173" s="4">
        <v>45294</v>
      </c>
      <c r="I173" s="7"/>
      <c r="J173" s="3" t="str">
        <f>IF(Sales[[#This Row],[Purchase Amount]]&gt;0,"Yes","No")</f>
        <v>No</v>
      </c>
    </row>
    <row r="174" spans="1:10" x14ac:dyDescent="0.2">
      <c r="A174" s="3" t="s">
        <v>589</v>
      </c>
      <c r="B174" s="3" t="s">
        <v>189</v>
      </c>
      <c r="C174" s="3" t="s">
        <v>190</v>
      </c>
      <c r="D174" s="3" t="s">
        <v>191</v>
      </c>
      <c r="E174" s="3" t="s">
        <v>192</v>
      </c>
      <c r="F174" s="3" t="s">
        <v>273</v>
      </c>
      <c r="G174" s="3" t="s">
        <v>102</v>
      </c>
      <c r="H174" s="4">
        <v>45294</v>
      </c>
      <c r="I174" s="7"/>
      <c r="J174" s="3" t="str">
        <f>IF(Sales[[#This Row],[Purchase Amount]]&gt;0,"Yes","No")</f>
        <v>No</v>
      </c>
    </row>
    <row r="175" spans="1:10" x14ac:dyDescent="0.2">
      <c r="A175" s="3" t="s">
        <v>590</v>
      </c>
      <c r="B175" s="3" t="s">
        <v>138</v>
      </c>
      <c r="C175" s="3" t="s">
        <v>139</v>
      </c>
      <c r="D175" s="3" t="s">
        <v>140</v>
      </c>
      <c r="E175" s="3" t="s">
        <v>135</v>
      </c>
      <c r="F175" s="3" t="s">
        <v>408</v>
      </c>
      <c r="G175" s="3" t="s">
        <v>102</v>
      </c>
      <c r="H175" s="4">
        <v>45294</v>
      </c>
      <c r="I175" s="7">
        <v>425</v>
      </c>
      <c r="J175" s="3" t="str">
        <f>IF(Sales[[#This Row],[Purchase Amount]]&gt;0,"Yes","No")</f>
        <v>Yes</v>
      </c>
    </row>
    <row r="176" spans="1:10" x14ac:dyDescent="0.2">
      <c r="A176" s="3" t="s">
        <v>591</v>
      </c>
      <c r="B176" s="3" t="s">
        <v>154</v>
      </c>
      <c r="C176" s="3" t="s">
        <v>155</v>
      </c>
      <c r="D176" s="3" t="s">
        <v>156</v>
      </c>
      <c r="E176" s="3" t="s">
        <v>130</v>
      </c>
      <c r="F176" s="3" t="s">
        <v>529</v>
      </c>
      <c r="G176" s="3" t="s">
        <v>102</v>
      </c>
      <c r="H176" s="4">
        <v>45294</v>
      </c>
      <c r="I176" s="7">
        <v>205</v>
      </c>
      <c r="J176" s="3" t="str">
        <f>IF(Sales[[#This Row],[Purchase Amount]]&gt;0,"Yes","No")</f>
        <v>Yes</v>
      </c>
    </row>
    <row r="177" spans="1:10" x14ac:dyDescent="0.2">
      <c r="A177" s="3" t="s">
        <v>592</v>
      </c>
      <c r="B177" s="3" t="s">
        <v>257</v>
      </c>
      <c r="C177" s="3" t="s">
        <v>258</v>
      </c>
      <c r="D177" s="3" t="s">
        <v>259</v>
      </c>
      <c r="E177" s="3" t="s">
        <v>244</v>
      </c>
      <c r="F177" s="3" t="s">
        <v>178</v>
      </c>
      <c r="G177" s="3" t="s">
        <v>102</v>
      </c>
      <c r="H177" s="4">
        <v>45295</v>
      </c>
      <c r="I177" s="7"/>
      <c r="J177" s="3" t="str">
        <f>IF(Sales[[#This Row],[Purchase Amount]]&gt;0,"Yes","No")</f>
        <v>No</v>
      </c>
    </row>
    <row r="178" spans="1:10" x14ac:dyDescent="0.2">
      <c r="A178" s="3" t="s">
        <v>593</v>
      </c>
      <c r="B178" s="3" t="s">
        <v>436</v>
      </c>
      <c r="C178" s="3" t="s">
        <v>437</v>
      </c>
      <c r="D178" s="3" t="s">
        <v>438</v>
      </c>
      <c r="E178" s="3" t="s">
        <v>135</v>
      </c>
      <c r="F178" s="3" t="s">
        <v>285</v>
      </c>
      <c r="G178" s="3" t="s">
        <v>102</v>
      </c>
      <c r="H178" s="4">
        <v>45295</v>
      </c>
      <c r="I178" s="7">
        <v>1155</v>
      </c>
      <c r="J178" s="3" t="str">
        <f>IF(Sales[[#This Row],[Purchase Amount]]&gt;0,"Yes","No")</f>
        <v>Yes</v>
      </c>
    </row>
    <row r="179" spans="1:10" x14ac:dyDescent="0.2">
      <c r="A179" s="3" t="s">
        <v>594</v>
      </c>
      <c r="B179" s="3" t="s">
        <v>338</v>
      </c>
      <c r="C179" s="3" t="s">
        <v>339</v>
      </c>
      <c r="D179" s="3" t="s">
        <v>340</v>
      </c>
      <c r="E179" s="3" t="s">
        <v>172</v>
      </c>
      <c r="F179" s="3" t="s">
        <v>356</v>
      </c>
      <c r="G179" s="3" t="s">
        <v>102</v>
      </c>
      <c r="H179" s="4">
        <v>45295</v>
      </c>
      <c r="I179" s="7">
        <v>195</v>
      </c>
      <c r="J179" s="3" t="str">
        <f>IF(Sales[[#This Row],[Purchase Amount]]&gt;0,"Yes","No")</f>
        <v>Yes</v>
      </c>
    </row>
    <row r="180" spans="1:10" x14ac:dyDescent="0.2">
      <c r="A180" s="3" t="s">
        <v>595</v>
      </c>
      <c r="B180" s="3" t="s">
        <v>343</v>
      </c>
      <c r="C180" s="3" t="s">
        <v>344</v>
      </c>
      <c r="D180" s="3" t="s">
        <v>345</v>
      </c>
      <c r="E180" s="3" t="s">
        <v>124</v>
      </c>
      <c r="F180" s="3" t="s">
        <v>553</v>
      </c>
      <c r="G180" s="3" t="s">
        <v>100</v>
      </c>
      <c r="H180" s="4">
        <v>45295</v>
      </c>
      <c r="I180" s="7">
        <v>1265</v>
      </c>
      <c r="J180" s="3" t="str">
        <f>IF(Sales[[#This Row],[Purchase Amount]]&gt;0,"Yes","No")</f>
        <v>Yes</v>
      </c>
    </row>
    <row r="181" spans="1:10" x14ac:dyDescent="0.2">
      <c r="A181" s="3" t="s">
        <v>596</v>
      </c>
      <c r="B181" s="3" t="s">
        <v>327</v>
      </c>
      <c r="C181" s="3" t="s">
        <v>328</v>
      </c>
      <c r="D181" s="3" t="s">
        <v>329</v>
      </c>
      <c r="E181" s="3" t="s">
        <v>135</v>
      </c>
      <c r="F181" s="3" t="s">
        <v>193</v>
      </c>
      <c r="G181" s="3" t="s">
        <v>102</v>
      </c>
      <c r="H181" s="4">
        <v>45296</v>
      </c>
      <c r="I181" s="7">
        <v>1350</v>
      </c>
      <c r="J181" s="3" t="str">
        <f>IF(Sales[[#This Row],[Purchase Amount]]&gt;0,"Yes","No")</f>
        <v>Yes</v>
      </c>
    </row>
    <row r="182" spans="1:10" x14ac:dyDescent="0.2">
      <c r="A182" s="3" t="s">
        <v>597</v>
      </c>
      <c r="B182" s="3" t="s">
        <v>598</v>
      </c>
      <c r="C182" s="3" t="s">
        <v>599</v>
      </c>
      <c r="D182" s="3" t="s">
        <v>600</v>
      </c>
      <c r="E182" s="3" t="s">
        <v>244</v>
      </c>
      <c r="F182" s="3" t="s">
        <v>245</v>
      </c>
      <c r="G182" s="3" t="s">
        <v>101</v>
      </c>
      <c r="H182" s="4">
        <v>45296</v>
      </c>
      <c r="I182" s="7">
        <v>560</v>
      </c>
      <c r="J182" s="3" t="str">
        <f>IF(Sales[[#This Row],[Purchase Amount]]&gt;0,"Yes","No")</f>
        <v>Yes</v>
      </c>
    </row>
    <row r="183" spans="1:10" x14ac:dyDescent="0.2">
      <c r="A183" s="3" t="s">
        <v>601</v>
      </c>
      <c r="B183" s="3" t="s">
        <v>358</v>
      </c>
      <c r="C183" s="3" t="s">
        <v>359</v>
      </c>
      <c r="D183" s="3" t="s">
        <v>360</v>
      </c>
      <c r="E183" s="3" t="s">
        <v>335</v>
      </c>
      <c r="F183" s="3" t="s">
        <v>267</v>
      </c>
      <c r="G183" s="3" t="s">
        <v>101</v>
      </c>
      <c r="H183" s="4">
        <v>45297</v>
      </c>
      <c r="I183" s="7"/>
      <c r="J183" s="3" t="str">
        <f>IF(Sales[[#This Row],[Purchase Amount]]&gt;0,"Yes","No")</f>
        <v>No</v>
      </c>
    </row>
    <row r="184" spans="1:10" x14ac:dyDescent="0.2">
      <c r="A184" s="3" t="s">
        <v>602</v>
      </c>
      <c r="B184" s="3" t="s">
        <v>305</v>
      </c>
      <c r="C184" s="3" t="s">
        <v>306</v>
      </c>
      <c r="D184" s="3" t="s">
        <v>307</v>
      </c>
      <c r="E184" s="3" t="s">
        <v>130</v>
      </c>
      <c r="F184" s="3" t="s">
        <v>136</v>
      </c>
      <c r="G184" s="3" t="s">
        <v>102</v>
      </c>
      <c r="H184" s="4">
        <v>45297</v>
      </c>
      <c r="I184" s="7"/>
      <c r="J184" s="3" t="str">
        <f>IF(Sales[[#This Row],[Purchase Amount]]&gt;0,"Yes","No")</f>
        <v>No</v>
      </c>
    </row>
    <row r="185" spans="1:10" x14ac:dyDescent="0.2">
      <c r="A185" s="3" t="s">
        <v>603</v>
      </c>
      <c r="B185" s="3" t="s">
        <v>531</v>
      </c>
      <c r="C185" s="3" t="s">
        <v>532</v>
      </c>
      <c r="D185" s="3" t="s">
        <v>533</v>
      </c>
      <c r="E185" s="3" t="s">
        <v>124</v>
      </c>
      <c r="F185" s="3" t="s">
        <v>604</v>
      </c>
      <c r="G185" s="3" t="s">
        <v>101</v>
      </c>
      <c r="H185" s="4">
        <v>45297</v>
      </c>
      <c r="I185" s="7">
        <v>1040</v>
      </c>
      <c r="J185" s="3" t="str">
        <f>IF(Sales[[#This Row],[Purchase Amount]]&gt;0,"Yes","No")</f>
        <v>Yes</v>
      </c>
    </row>
    <row r="186" spans="1:10" x14ac:dyDescent="0.2">
      <c r="A186" s="3" t="s">
        <v>605</v>
      </c>
      <c r="B186" s="3" t="s">
        <v>419</v>
      </c>
      <c r="C186" s="3" t="s">
        <v>420</v>
      </c>
      <c r="D186" s="3" t="s">
        <v>421</v>
      </c>
      <c r="E186" s="3" t="s">
        <v>244</v>
      </c>
      <c r="F186" s="3" t="s">
        <v>320</v>
      </c>
      <c r="G186" s="3" t="s">
        <v>100</v>
      </c>
      <c r="H186" s="4">
        <v>45297</v>
      </c>
      <c r="I186" s="7">
        <v>405</v>
      </c>
      <c r="J186" s="3" t="str">
        <f>IF(Sales[[#This Row],[Purchase Amount]]&gt;0,"Yes","No")</f>
        <v>Yes</v>
      </c>
    </row>
    <row r="187" spans="1:10" x14ac:dyDescent="0.2">
      <c r="A187" s="3" t="s">
        <v>606</v>
      </c>
      <c r="B187" s="3" t="s">
        <v>213</v>
      </c>
      <c r="C187" s="3" t="s">
        <v>214</v>
      </c>
      <c r="D187" s="3" t="s">
        <v>215</v>
      </c>
      <c r="E187" s="3" t="s">
        <v>124</v>
      </c>
      <c r="F187" s="3" t="s">
        <v>193</v>
      </c>
      <c r="G187" s="3" t="s">
        <v>102</v>
      </c>
      <c r="H187" s="4">
        <v>45297</v>
      </c>
      <c r="I187" s="7">
        <v>1475</v>
      </c>
      <c r="J187" s="3" t="str">
        <f>IF(Sales[[#This Row],[Purchase Amount]]&gt;0,"Yes","No")</f>
        <v>Yes</v>
      </c>
    </row>
    <row r="188" spans="1:10" x14ac:dyDescent="0.2">
      <c r="A188" s="3" t="s">
        <v>607</v>
      </c>
      <c r="B188" s="3" t="s">
        <v>414</v>
      </c>
      <c r="C188" s="3" t="s">
        <v>415</v>
      </c>
      <c r="D188" s="3" t="s">
        <v>416</v>
      </c>
      <c r="E188" s="3" t="s">
        <v>118</v>
      </c>
      <c r="F188" s="3" t="s">
        <v>273</v>
      </c>
      <c r="G188" s="3" t="s">
        <v>100</v>
      </c>
      <c r="H188" s="4">
        <v>45297</v>
      </c>
      <c r="I188" s="7">
        <v>800</v>
      </c>
      <c r="J188" s="3" t="str">
        <f>IF(Sales[[#This Row],[Purchase Amount]]&gt;0,"Yes","No")</f>
        <v>Yes</v>
      </c>
    </row>
    <row r="189" spans="1:10" x14ac:dyDescent="0.2">
      <c r="A189" s="3" t="s">
        <v>608</v>
      </c>
      <c r="B189" s="3" t="s">
        <v>316</v>
      </c>
      <c r="C189" s="3" t="s">
        <v>317</v>
      </c>
      <c r="D189" s="3" t="s">
        <v>318</v>
      </c>
      <c r="E189" s="3" t="s">
        <v>319</v>
      </c>
      <c r="F189" s="3" t="s">
        <v>178</v>
      </c>
      <c r="G189" s="3" t="s">
        <v>102</v>
      </c>
      <c r="H189" s="4">
        <v>45297</v>
      </c>
      <c r="I189" s="7">
        <v>1755</v>
      </c>
      <c r="J189" s="3" t="str">
        <f>IF(Sales[[#This Row],[Purchase Amount]]&gt;0,"Yes","No")</f>
        <v>Yes</v>
      </c>
    </row>
    <row r="190" spans="1:10" x14ac:dyDescent="0.2">
      <c r="A190" s="3" t="s">
        <v>609</v>
      </c>
      <c r="B190" s="3" t="s">
        <v>189</v>
      </c>
      <c r="C190" s="3" t="s">
        <v>190</v>
      </c>
      <c r="D190" s="3" t="s">
        <v>191</v>
      </c>
      <c r="E190" s="3" t="s">
        <v>192</v>
      </c>
      <c r="F190" s="3" t="s">
        <v>294</v>
      </c>
      <c r="G190" s="3" t="s">
        <v>99</v>
      </c>
      <c r="H190" s="4">
        <v>45297</v>
      </c>
      <c r="I190" s="7">
        <v>705</v>
      </c>
      <c r="J190" s="3" t="str">
        <f>IF(Sales[[#This Row],[Purchase Amount]]&gt;0,"Yes","No")</f>
        <v>Yes</v>
      </c>
    </row>
    <row r="191" spans="1:10" x14ac:dyDescent="0.2">
      <c r="A191" s="3" t="s">
        <v>610</v>
      </c>
      <c r="B191" s="3" t="s">
        <v>483</v>
      </c>
      <c r="C191" s="3" t="s">
        <v>484</v>
      </c>
      <c r="D191" s="3" t="s">
        <v>485</v>
      </c>
      <c r="E191" s="3" t="s">
        <v>135</v>
      </c>
      <c r="F191" s="3" t="s">
        <v>611</v>
      </c>
      <c r="G191" s="3" t="s">
        <v>99</v>
      </c>
      <c r="H191" s="4">
        <v>45297</v>
      </c>
      <c r="I191" s="7">
        <v>190</v>
      </c>
      <c r="J191" s="3" t="str">
        <f>IF(Sales[[#This Row],[Purchase Amount]]&gt;0,"Yes","No")</f>
        <v>Yes</v>
      </c>
    </row>
    <row r="192" spans="1:10" x14ac:dyDescent="0.2">
      <c r="A192" s="3" t="s">
        <v>612</v>
      </c>
      <c r="B192" s="3" t="s">
        <v>343</v>
      </c>
      <c r="C192" s="3" t="s">
        <v>344</v>
      </c>
      <c r="D192" s="3" t="s">
        <v>345</v>
      </c>
      <c r="E192" s="3" t="s">
        <v>124</v>
      </c>
      <c r="F192" s="3" t="s">
        <v>211</v>
      </c>
      <c r="G192" s="3" t="s">
        <v>101</v>
      </c>
      <c r="H192" s="4">
        <v>45297</v>
      </c>
      <c r="I192" s="7">
        <v>965</v>
      </c>
      <c r="J192" s="3" t="str">
        <f>IF(Sales[[#This Row],[Purchase Amount]]&gt;0,"Yes","No")</f>
        <v>Yes</v>
      </c>
    </row>
    <row r="193" spans="1:10" x14ac:dyDescent="0.2">
      <c r="A193" s="3" t="s">
        <v>613</v>
      </c>
      <c r="B193" s="3" t="s">
        <v>519</v>
      </c>
      <c r="C193" s="3" t="s">
        <v>520</v>
      </c>
      <c r="D193" s="3" t="s">
        <v>521</v>
      </c>
      <c r="E193" s="3" t="s">
        <v>118</v>
      </c>
      <c r="F193" s="3" t="s">
        <v>255</v>
      </c>
      <c r="G193" s="3" t="s">
        <v>102</v>
      </c>
      <c r="H193" s="4">
        <v>45298</v>
      </c>
      <c r="I193" s="7">
        <v>1360</v>
      </c>
      <c r="J193" s="3" t="str">
        <f>IF(Sales[[#This Row],[Purchase Amount]]&gt;0,"Yes","No")</f>
        <v>Yes</v>
      </c>
    </row>
    <row r="194" spans="1:10" x14ac:dyDescent="0.2">
      <c r="A194" s="3" t="s">
        <v>614</v>
      </c>
      <c r="B194" s="3" t="s">
        <v>327</v>
      </c>
      <c r="C194" s="3" t="s">
        <v>328</v>
      </c>
      <c r="D194" s="3" t="s">
        <v>329</v>
      </c>
      <c r="E194" s="3" t="s">
        <v>135</v>
      </c>
      <c r="F194" s="3" t="s">
        <v>255</v>
      </c>
      <c r="G194" s="3" t="s">
        <v>102</v>
      </c>
      <c r="H194" s="4">
        <v>45298</v>
      </c>
      <c r="I194" s="7">
        <v>605</v>
      </c>
      <c r="J194" s="3" t="str">
        <f>IF(Sales[[#This Row],[Purchase Amount]]&gt;0,"Yes","No")</f>
        <v>Yes</v>
      </c>
    </row>
    <row r="195" spans="1:10" x14ac:dyDescent="0.2">
      <c r="A195" s="3" t="s">
        <v>615</v>
      </c>
      <c r="B195" s="3" t="s">
        <v>367</v>
      </c>
      <c r="C195" s="3" t="s">
        <v>368</v>
      </c>
      <c r="D195" s="3" t="s">
        <v>369</v>
      </c>
      <c r="E195" s="3" t="s">
        <v>135</v>
      </c>
      <c r="F195" s="3" t="s">
        <v>167</v>
      </c>
      <c r="G195" s="3" t="s">
        <v>102</v>
      </c>
      <c r="H195" s="4">
        <v>45298</v>
      </c>
      <c r="I195" s="7">
        <v>540</v>
      </c>
      <c r="J195" s="3" t="str">
        <f>IF(Sales[[#This Row],[Purchase Amount]]&gt;0,"Yes","No")</f>
        <v>Yes</v>
      </c>
    </row>
    <row r="196" spans="1:10" x14ac:dyDescent="0.2">
      <c r="A196" s="3" t="s">
        <v>616</v>
      </c>
      <c r="B196" s="3" t="s">
        <v>257</v>
      </c>
      <c r="C196" s="3" t="s">
        <v>258</v>
      </c>
      <c r="D196" s="3" t="s">
        <v>259</v>
      </c>
      <c r="E196" s="3" t="s">
        <v>244</v>
      </c>
      <c r="F196" s="3" t="s">
        <v>365</v>
      </c>
      <c r="G196" s="3" t="s">
        <v>101</v>
      </c>
      <c r="H196" s="4">
        <v>45299</v>
      </c>
      <c r="I196" s="7">
        <v>355</v>
      </c>
      <c r="J196" s="3" t="str">
        <f>IF(Sales[[#This Row],[Purchase Amount]]&gt;0,"Yes","No")</f>
        <v>Yes</v>
      </c>
    </row>
    <row r="197" spans="1:10" x14ac:dyDescent="0.2">
      <c r="A197" s="3" t="s">
        <v>617</v>
      </c>
      <c r="B197" s="3" t="s">
        <v>488</v>
      </c>
      <c r="C197" s="3" t="s">
        <v>489</v>
      </c>
      <c r="D197" s="3" t="s">
        <v>490</v>
      </c>
      <c r="E197" s="3" t="s">
        <v>210</v>
      </c>
      <c r="F197" s="3" t="s">
        <v>411</v>
      </c>
      <c r="G197" s="3" t="s">
        <v>102</v>
      </c>
      <c r="H197" s="4">
        <v>45299</v>
      </c>
      <c r="I197" s="7">
        <v>860</v>
      </c>
      <c r="J197" s="3" t="str">
        <f>IF(Sales[[#This Row],[Purchase Amount]]&gt;0,"Yes","No")</f>
        <v>Yes</v>
      </c>
    </row>
    <row r="198" spans="1:10" x14ac:dyDescent="0.2">
      <c r="A198" s="3" t="s">
        <v>618</v>
      </c>
      <c r="B198" s="3" t="s">
        <v>169</v>
      </c>
      <c r="C198" s="3" t="s">
        <v>170</v>
      </c>
      <c r="D198" s="3" t="s">
        <v>171</v>
      </c>
      <c r="E198" s="3" t="s">
        <v>172</v>
      </c>
      <c r="F198" s="3" t="s">
        <v>549</v>
      </c>
      <c r="G198" s="3" t="s">
        <v>102</v>
      </c>
      <c r="H198" s="4">
        <v>45300</v>
      </c>
      <c r="I198" s="7"/>
      <c r="J198" s="3" t="str">
        <f>IF(Sales[[#This Row],[Purchase Amount]]&gt;0,"Yes","No")</f>
        <v>No</v>
      </c>
    </row>
    <row r="199" spans="1:10" x14ac:dyDescent="0.2">
      <c r="A199" s="3" t="s">
        <v>619</v>
      </c>
      <c r="B199" s="3" t="s">
        <v>213</v>
      </c>
      <c r="C199" s="3" t="s">
        <v>214</v>
      </c>
      <c r="D199" s="3" t="s">
        <v>215</v>
      </c>
      <c r="E199" s="3" t="s">
        <v>124</v>
      </c>
      <c r="F199" s="3" t="s">
        <v>294</v>
      </c>
      <c r="G199" s="3" t="s">
        <v>101</v>
      </c>
      <c r="H199" s="4">
        <v>45300</v>
      </c>
      <c r="I199" s="7"/>
      <c r="J199" s="3" t="str">
        <f>IF(Sales[[#This Row],[Purchase Amount]]&gt;0,"Yes","No")</f>
        <v>No</v>
      </c>
    </row>
    <row r="200" spans="1:10" x14ac:dyDescent="0.2">
      <c r="A200" s="3" t="s">
        <v>620</v>
      </c>
      <c r="B200" s="3" t="s">
        <v>598</v>
      </c>
      <c r="C200" s="3" t="s">
        <v>599</v>
      </c>
      <c r="D200" s="3" t="s">
        <v>600</v>
      </c>
      <c r="E200" s="3" t="s">
        <v>244</v>
      </c>
      <c r="F200" s="3" t="s">
        <v>136</v>
      </c>
      <c r="G200" s="3" t="s">
        <v>102</v>
      </c>
      <c r="H200" s="4">
        <v>45300</v>
      </c>
      <c r="I200" s="7">
        <v>435</v>
      </c>
      <c r="J200" s="3" t="str">
        <f>IF(Sales[[#This Row],[Purchase Amount]]&gt;0,"Yes","No")</f>
        <v>Yes</v>
      </c>
    </row>
    <row r="201" spans="1:10" x14ac:dyDescent="0.2">
      <c r="A201" s="3" t="s">
        <v>621</v>
      </c>
      <c r="B201" s="3" t="s">
        <v>371</v>
      </c>
      <c r="C201" s="3" t="s">
        <v>372</v>
      </c>
      <c r="D201" s="3" t="s">
        <v>373</v>
      </c>
      <c r="E201" s="3" t="s">
        <v>374</v>
      </c>
      <c r="F201" s="3" t="s">
        <v>173</v>
      </c>
      <c r="G201" s="3" t="s">
        <v>101</v>
      </c>
      <c r="H201" s="4">
        <v>45300</v>
      </c>
      <c r="I201" s="7">
        <v>2125</v>
      </c>
      <c r="J201" s="3" t="str">
        <f>IF(Sales[[#This Row],[Purchase Amount]]&gt;0,"Yes","No")</f>
        <v>Yes</v>
      </c>
    </row>
    <row r="202" spans="1:10" x14ac:dyDescent="0.2">
      <c r="A202" s="3" t="s">
        <v>622</v>
      </c>
      <c r="B202" s="3" t="s">
        <v>264</v>
      </c>
      <c r="C202" s="3" t="s">
        <v>265</v>
      </c>
      <c r="D202" s="3" t="s">
        <v>266</v>
      </c>
      <c r="E202" s="3" t="s">
        <v>192</v>
      </c>
      <c r="F202" s="3" t="s">
        <v>549</v>
      </c>
      <c r="G202" s="3" t="s">
        <v>100</v>
      </c>
      <c r="H202" s="4">
        <v>45301</v>
      </c>
      <c r="I202" s="7">
        <v>400</v>
      </c>
      <c r="J202" s="3" t="str">
        <f>IF(Sales[[#This Row],[Purchase Amount]]&gt;0,"Yes","No")</f>
        <v>Yes</v>
      </c>
    </row>
    <row r="203" spans="1:10" x14ac:dyDescent="0.2">
      <c r="A203" s="3" t="s">
        <v>623</v>
      </c>
      <c r="B203" s="3" t="s">
        <v>121</v>
      </c>
      <c r="C203" s="3" t="s">
        <v>122</v>
      </c>
      <c r="D203" s="3" t="s">
        <v>123</v>
      </c>
      <c r="E203" s="3" t="s">
        <v>124</v>
      </c>
      <c r="F203" s="3" t="s">
        <v>173</v>
      </c>
      <c r="G203" s="3" t="s">
        <v>102</v>
      </c>
      <c r="H203" s="4">
        <v>45301</v>
      </c>
      <c r="I203" s="7">
        <v>1490</v>
      </c>
      <c r="J203" s="3" t="str">
        <f>IF(Sales[[#This Row],[Purchase Amount]]&gt;0,"Yes","No")</f>
        <v>Yes</v>
      </c>
    </row>
    <row r="204" spans="1:10" x14ac:dyDescent="0.2">
      <c r="A204" s="3" t="s">
        <v>624</v>
      </c>
      <c r="B204" s="3" t="s">
        <v>483</v>
      </c>
      <c r="C204" s="3" t="s">
        <v>484</v>
      </c>
      <c r="D204" s="3" t="s">
        <v>485</v>
      </c>
      <c r="E204" s="3" t="s">
        <v>135</v>
      </c>
      <c r="F204" s="3" t="s">
        <v>205</v>
      </c>
      <c r="G204" s="3" t="s">
        <v>102</v>
      </c>
      <c r="H204" s="4">
        <v>45302</v>
      </c>
      <c r="I204" s="7"/>
      <c r="J204" s="3" t="str">
        <f>IF(Sales[[#This Row],[Purchase Amount]]&gt;0,"Yes","No")</f>
        <v>No</v>
      </c>
    </row>
    <row r="205" spans="1:10" x14ac:dyDescent="0.2">
      <c r="A205" s="3" t="s">
        <v>625</v>
      </c>
      <c r="B205" s="3" t="s">
        <v>127</v>
      </c>
      <c r="C205" s="3" t="s">
        <v>128</v>
      </c>
      <c r="D205" s="3" t="s">
        <v>129</v>
      </c>
      <c r="E205" s="3" t="s">
        <v>130</v>
      </c>
      <c r="F205" s="3" t="s">
        <v>231</v>
      </c>
      <c r="G205" s="3" t="s">
        <v>101</v>
      </c>
      <c r="H205" s="4">
        <v>45302</v>
      </c>
      <c r="I205" s="7">
        <v>1045</v>
      </c>
      <c r="J205" s="3" t="str">
        <f>IF(Sales[[#This Row],[Purchase Amount]]&gt;0,"Yes","No")</f>
        <v>Yes</v>
      </c>
    </row>
    <row r="206" spans="1:10" x14ac:dyDescent="0.2">
      <c r="A206" s="3" t="s">
        <v>626</v>
      </c>
      <c r="B206" s="3" t="s">
        <v>227</v>
      </c>
      <c r="C206" s="3" t="s">
        <v>228</v>
      </c>
      <c r="D206" s="3" t="s">
        <v>229</v>
      </c>
      <c r="E206" s="3" t="s">
        <v>151</v>
      </c>
      <c r="F206" s="3" t="s">
        <v>225</v>
      </c>
      <c r="G206" s="3" t="s">
        <v>100</v>
      </c>
      <c r="H206" s="4">
        <v>45302</v>
      </c>
      <c r="I206" s="7">
        <v>575</v>
      </c>
      <c r="J206" s="3" t="str">
        <f>IF(Sales[[#This Row],[Purchase Amount]]&gt;0,"Yes","No")</f>
        <v>Yes</v>
      </c>
    </row>
    <row r="207" spans="1:10" x14ac:dyDescent="0.2">
      <c r="A207" s="3" t="s">
        <v>627</v>
      </c>
      <c r="B207" s="3" t="s">
        <v>282</v>
      </c>
      <c r="C207" s="3" t="s">
        <v>283</v>
      </c>
      <c r="D207" s="3" t="s">
        <v>284</v>
      </c>
      <c r="E207" s="3" t="s">
        <v>124</v>
      </c>
      <c r="F207" s="3" t="s">
        <v>449</v>
      </c>
      <c r="G207" s="3" t="s">
        <v>102</v>
      </c>
      <c r="H207" s="4">
        <v>45302</v>
      </c>
      <c r="I207" s="7">
        <v>525</v>
      </c>
      <c r="J207" s="3" t="str">
        <f>IF(Sales[[#This Row],[Purchase Amount]]&gt;0,"Yes","No")</f>
        <v>Yes</v>
      </c>
    </row>
    <row r="208" spans="1:10" x14ac:dyDescent="0.2">
      <c r="A208" s="3" t="s">
        <v>628</v>
      </c>
      <c r="B208" s="3" t="s">
        <v>164</v>
      </c>
      <c r="C208" s="3" t="s">
        <v>165</v>
      </c>
      <c r="D208" s="3" t="s">
        <v>166</v>
      </c>
      <c r="E208" s="3" t="s">
        <v>130</v>
      </c>
      <c r="F208" s="3" t="s">
        <v>119</v>
      </c>
      <c r="G208" s="3" t="s">
        <v>100</v>
      </c>
      <c r="H208" s="4">
        <v>45303</v>
      </c>
      <c r="I208" s="7"/>
      <c r="J208" s="3" t="str">
        <f>IF(Sales[[#This Row],[Purchase Amount]]&gt;0,"Yes","No")</f>
        <v>No</v>
      </c>
    </row>
    <row r="209" spans="1:10" x14ac:dyDescent="0.2">
      <c r="A209" s="3" t="s">
        <v>629</v>
      </c>
      <c r="B209" s="3" t="s">
        <v>414</v>
      </c>
      <c r="C209" s="3" t="s">
        <v>415</v>
      </c>
      <c r="D209" s="3" t="s">
        <v>416</v>
      </c>
      <c r="E209" s="3" t="s">
        <v>118</v>
      </c>
      <c r="F209" s="3" t="s">
        <v>275</v>
      </c>
      <c r="G209" s="3" t="s">
        <v>101</v>
      </c>
      <c r="H209" s="4">
        <v>45303</v>
      </c>
      <c r="I209" s="7"/>
      <c r="J209" s="3" t="str">
        <f>IF(Sales[[#This Row],[Purchase Amount]]&gt;0,"Yes","No")</f>
        <v>No</v>
      </c>
    </row>
    <row r="210" spans="1:10" x14ac:dyDescent="0.2">
      <c r="A210" s="3" t="s">
        <v>630</v>
      </c>
      <c r="B210" s="3" t="s">
        <v>377</v>
      </c>
      <c r="C210" s="3" t="s">
        <v>378</v>
      </c>
      <c r="D210" s="3" t="s">
        <v>379</v>
      </c>
      <c r="E210" s="3" t="s">
        <v>151</v>
      </c>
      <c r="F210" s="3" t="s">
        <v>583</v>
      </c>
      <c r="G210" s="3" t="s">
        <v>100</v>
      </c>
      <c r="H210" s="4">
        <v>45303</v>
      </c>
      <c r="I210" s="7">
        <v>1365</v>
      </c>
      <c r="J210" s="3" t="str">
        <f>IF(Sales[[#This Row],[Purchase Amount]]&gt;0,"Yes","No")</f>
        <v>Yes</v>
      </c>
    </row>
    <row r="211" spans="1:10" x14ac:dyDescent="0.2">
      <c r="A211" s="3" t="s">
        <v>631</v>
      </c>
      <c r="B211" s="3" t="s">
        <v>169</v>
      </c>
      <c r="C211" s="3" t="s">
        <v>170</v>
      </c>
      <c r="D211" s="3" t="s">
        <v>171</v>
      </c>
      <c r="E211" s="3" t="s">
        <v>172</v>
      </c>
      <c r="F211" s="3" t="s">
        <v>136</v>
      </c>
      <c r="G211" s="3" t="s">
        <v>101</v>
      </c>
      <c r="H211" s="4">
        <v>45303</v>
      </c>
      <c r="I211" s="7">
        <v>135</v>
      </c>
      <c r="J211" s="3" t="str">
        <f>IF(Sales[[#This Row],[Purchase Amount]]&gt;0,"Yes","No")</f>
        <v>Yes</v>
      </c>
    </row>
    <row r="212" spans="1:10" x14ac:dyDescent="0.2">
      <c r="A212" s="3" t="s">
        <v>632</v>
      </c>
      <c r="B212" s="3" t="s">
        <v>499</v>
      </c>
      <c r="C212" s="3" t="s">
        <v>500</v>
      </c>
      <c r="D212" s="3" t="s">
        <v>501</v>
      </c>
      <c r="E212" s="3" t="s">
        <v>172</v>
      </c>
      <c r="F212" s="3" t="s">
        <v>406</v>
      </c>
      <c r="G212" s="3" t="s">
        <v>101</v>
      </c>
      <c r="H212" s="4">
        <v>45303</v>
      </c>
      <c r="I212" s="7">
        <v>655</v>
      </c>
      <c r="J212" s="3" t="str">
        <f>IF(Sales[[#This Row],[Purchase Amount]]&gt;0,"Yes","No")</f>
        <v>Yes</v>
      </c>
    </row>
    <row r="213" spans="1:10" x14ac:dyDescent="0.2">
      <c r="A213" s="3" t="s">
        <v>633</v>
      </c>
      <c r="B213" s="3" t="s">
        <v>385</v>
      </c>
      <c r="C213" s="3" t="s">
        <v>386</v>
      </c>
      <c r="D213" s="3" t="s">
        <v>387</v>
      </c>
      <c r="E213" s="3" t="s">
        <v>210</v>
      </c>
      <c r="F213" s="3" t="s">
        <v>341</v>
      </c>
      <c r="G213" s="3" t="s">
        <v>102</v>
      </c>
      <c r="H213" s="4">
        <v>45304</v>
      </c>
      <c r="I213" s="7"/>
      <c r="J213" s="3" t="str">
        <f>IF(Sales[[#This Row],[Purchase Amount]]&gt;0,"Yes","No")</f>
        <v>No</v>
      </c>
    </row>
    <row r="214" spans="1:10" x14ac:dyDescent="0.2">
      <c r="A214" s="3" t="s">
        <v>634</v>
      </c>
      <c r="B214" s="3" t="s">
        <v>542</v>
      </c>
      <c r="C214" s="3" t="s">
        <v>543</v>
      </c>
      <c r="D214" s="3" t="s">
        <v>544</v>
      </c>
      <c r="E214" s="3" t="s">
        <v>374</v>
      </c>
      <c r="F214" s="3" t="s">
        <v>273</v>
      </c>
      <c r="G214" s="3" t="s">
        <v>102</v>
      </c>
      <c r="H214" s="4">
        <v>45304</v>
      </c>
      <c r="I214" s="7">
        <v>785</v>
      </c>
      <c r="J214" s="3" t="str">
        <f>IF(Sales[[#This Row],[Purchase Amount]]&gt;0,"Yes","No")</f>
        <v>Yes</v>
      </c>
    </row>
    <row r="215" spans="1:10" x14ac:dyDescent="0.2">
      <c r="A215" s="3" t="s">
        <v>635</v>
      </c>
      <c r="B215" s="3" t="s">
        <v>185</v>
      </c>
      <c r="C215" s="3" t="s">
        <v>186</v>
      </c>
      <c r="D215" s="3" t="s">
        <v>187</v>
      </c>
      <c r="E215" s="3" t="s">
        <v>151</v>
      </c>
      <c r="F215" s="3" t="s">
        <v>193</v>
      </c>
      <c r="G215" s="3" t="s">
        <v>101</v>
      </c>
      <c r="H215" s="4">
        <v>45304</v>
      </c>
      <c r="I215" s="7">
        <v>75</v>
      </c>
      <c r="J215" s="3" t="str">
        <f>IF(Sales[[#This Row],[Purchase Amount]]&gt;0,"Yes","No")</f>
        <v>Yes</v>
      </c>
    </row>
    <row r="216" spans="1:10" x14ac:dyDescent="0.2">
      <c r="A216" s="3" t="s">
        <v>636</v>
      </c>
      <c r="B216" s="3" t="s">
        <v>252</v>
      </c>
      <c r="C216" s="3" t="s">
        <v>253</v>
      </c>
      <c r="D216" s="3" t="s">
        <v>254</v>
      </c>
      <c r="E216" s="3" t="s">
        <v>210</v>
      </c>
      <c r="F216" s="3" t="s">
        <v>131</v>
      </c>
      <c r="G216" s="3" t="s">
        <v>100</v>
      </c>
      <c r="H216" s="4">
        <v>45305</v>
      </c>
      <c r="I216" s="7">
        <v>880</v>
      </c>
      <c r="J216" s="3" t="str">
        <f>IF(Sales[[#This Row],[Purchase Amount]]&gt;0,"Yes","No")</f>
        <v>Yes</v>
      </c>
    </row>
    <row r="217" spans="1:10" x14ac:dyDescent="0.2">
      <c r="A217" s="3" t="s">
        <v>637</v>
      </c>
      <c r="B217" s="3" t="s">
        <v>638</v>
      </c>
      <c r="C217" s="3" t="s">
        <v>639</v>
      </c>
      <c r="D217" s="3" t="s">
        <v>640</v>
      </c>
      <c r="E217" s="3" t="s">
        <v>135</v>
      </c>
      <c r="F217" s="3" t="s">
        <v>465</v>
      </c>
      <c r="G217" s="3" t="s">
        <v>102</v>
      </c>
      <c r="H217" s="4">
        <v>45305</v>
      </c>
      <c r="I217" s="7">
        <v>90</v>
      </c>
      <c r="J217" s="3" t="str">
        <f>IF(Sales[[#This Row],[Purchase Amount]]&gt;0,"Yes","No")</f>
        <v>Yes</v>
      </c>
    </row>
    <row r="218" spans="1:10" x14ac:dyDescent="0.2">
      <c r="A218" s="3" t="s">
        <v>641</v>
      </c>
      <c r="B218" s="3" t="s">
        <v>367</v>
      </c>
      <c r="C218" s="3" t="s">
        <v>368</v>
      </c>
      <c r="D218" s="3" t="s">
        <v>369</v>
      </c>
      <c r="E218" s="3" t="s">
        <v>135</v>
      </c>
      <c r="F218" s="3" t="s">
        <v>553</v>
      </c>
      <c r="G218" s="3" t="s">
        <v>101</v>
      </c>
      <c r="H218" s="4">
        <v>45305</v>
      </c>
      <c r="I218" s="7">
        <v>940</v>
      </c>
      <c r="J218" s="3" t="str">
        <f>IF(Sales[[#This Row],[Purchase Amount]]&gt;0,"Yes","No")</f>
        <v>Yes</v>
      </c>
    </row>
    <row r="219" spans="1:10" x14ac:dyDescent="0.2">
      <c r="A219" s="3" t="s">
        <v>642</v>
      </c>
      <c r="B219" s="3" t="s">
        <v>180</v>
      </c>
      <c r="C219" s="3" t="s">
        <v>181</v>
      </c>
      <c r="D219" s="3" t="s">
        <v>182</v>
      </c>
      <c r="E219" s="3" t="s">
        <v>124</v>
      </c>
      <c r="F219" s="3" t="s">
        <v>411</v>
      </c>
      <c r="G219" s="3" t="s">
        <v>102</v>
      </c>
      <c r="H219" s="4">
        <v>45305</v>
      </c>
      <c r="I219" s="7">
        <v>65</v>
      </c>
      <c r="J219" s="3" t="str">
        <f>IF(Sales[[#This Row],[Purchase Amount]]&gt;0,"Yes","No")</f>
        <v>Yes</v>
      </c>
    </row>
    <row r="220" spans="1:10" x14ac:dyDescent="0.2">
      <c r="A220" s="3" t="s">
        <v>643</v>
      </c>
      <c r="B220" s="3" t="s">
        <v>338</v>
      </c>
      <c r="C220" s="3" t="s">
        <v>339</v>
      </c>
      <c r="D220" s="3" t="s">
        <v>340</v>
      </c>
      <c r="E220" s="3" t="s">
        <v>172</v>
      </c>
      <c r="F220" s="3" t="s">
        <v>611</v>
      </c>
      <c r="G220" s="3" t="s">
        <v>102</v>
      </c>
      <c r="H220" s="4">
        <v>45305</v>
      </c>
      <c r="I220" s="7">
        <v>15</v>
      </c>
      <c r="J220" s="3" t="str">
        <f>IF(Sales[[#This Row],[Purchase Amount]]&gt;0,"Yes","No")</f>
        <v>Yes</v>
      </c>
    </row>
    <row r="221" spans="1:10" x14ac:dyDescent="0.2">
      <c r="A221" s="3" t="s">
        <v>644</v>
      </c>
      <c r="B221" s="3" t="s">
        <v>202</v>
      </c>
      <c r="C221" s="3" t="s">
        <v>203</v>
      </c>
      <c r="D221" s="3" t="s">
        <v>204</v>
      </c>
      <c r="E221" s="3" t="s">
        <v>172</v>
      </c>
      <c r="F221" s="3" t="s">
        <v>239</v>
      </c>
      <c r="G221" s="3" t="s">
        <v>101</v>
      </c>
      <c r="H221" s="4">
        <v>45305</v>
      </c>
      <c r="I221" s="7">
        <v>945</v>
      </c>
      <c r="J221" s="3" t="str">
        <f>IF(Sales[[#This Row],[Purchase Amount]]&gt;0,"Yes","No")</f>
        <v>Yes</v>
      </c>
    </row>
    <row r="222" spans="1:10" x14ac:dyDescent="0.2">
      <c r="A222" s="3" t="s">
        <v>645</v>
      </c>
      <c r="B222" s="3" t="s">
        <v>499</v>
      </c>
      <c r="C222" s="3" t="s">
        <v>500</v>
      </c>
      <c r="D222" s="3" t="s">
        <v>501</v>
      </c>
      <c r="E222" s="3" t="s">
        <v>172</v>
      </c>
      <c r="F222" s="3" t="s">
        <v>255</v>
      </c>
      <c r="G222" s="3" t="s">
        <v>100</v>
      </c>
      <c r="H222" s="4">
        <v>45306</v>
      </c>
      <c r="I222" s="7">
        <v>395</v>
      </c>
      <c r="J222" s="3" t="str">
        <f>IF(Sales[[#This Row],[Purchase Amount]]&gt;0,"Yes","No")</f>
        <v>Yes</v>
      </c>
    </row>
    <row r="223" spans="1:10" x14ac:dyDescent="0.2">
      <c r="A223" s="3" t="s">
        <v>646</v>
      </c>
      <c r="B223" s="3" t="s">
        <v>189</v>
      </c>
      <c r="C223" s="3" t="s">
        <v>190</v>
      </c>
      <c r="D223" s="3" t="s">
        <v>191</v>
      </c>
      <c r="E223" s="3" t="s">
        <v>192</v>
      </c>
      <c r="F223" s="3" t="s">
        <v>451</v>
      </c>
      <c r="G223" s="3" t="s">
        <v>100</v>
      </c>
      <c r="H223" s="4">
        <v>45307</v>
      </c>
      <c r="I223" s="7"/>
      <c r="J223" s="3" t="str">
        <f>IF(Sales[[#This Row],[Purchase Amount]]&gt;0,"Yes","No")</f>
        <v>No</v>
      </c>
    </row>
    <row r="224" spans="1:10" x14ac:dyDescent="0.2">
      <c r="A224" s="3" t="s">
        <v>647</v>
      </c>
      <c r="B224" s="3" t="s">
        <v>291</v>
      </c>
      <c r="C224" s="3" t="s">
        <v>292</v>
      </c>
      <c r="D224" s="3" t="s">
        <v>293</v>
      </c>
      <c r="E224" s="3" t="s">
        <v>210</v>
      </c>
      <c r="F224" s="3" t="s">
        <v>211</v>
      </c>
      <c r="G224" s="3" t="s">
        <v>102</v>
      </c>
      <c r="H224" s="4">
        <v>45307</v>
      </c>
      <c r="I224" s="7"/>
      <c r="J224" s="3" t="str">
        <f>IF(Sales[[#This Row],[Purchase Amount]]&gt;0,"Yes","No")</f>
        <v>No</v>
      </c>
    </row>
    <row r="225" spans="1:10" x14ac:dyDescent="0.2">
      <c r="A225" s="3" t="s">
        <v>648</v>
      </c>
      <c r="B225" s="3" t="s">
        <v>217</v>
      </c>
      <c r="C225" s="3" t="s">
        <v>218</v>
      </c>
      <c r="D225" s="3" t="s">
        <v>219</v>
      </c>
      <c r="E225" s="3" t="s">
        <v>135</v>
      </c>
      <c r="F225" s="3" t="s">
        <v>262</v>
      </c>
      <c r="G225" s="3" t="s">
        <v>101</v>
      </c>
      <c r="H225" s="4">
        <v>45307</v>
      </c>
      <c r="I225" s="7"/>
      <c r="J225" s="3" t="str">
        <f>IF(Sales[[#This Row],[Purchase Amount]]&gt;0,"Yes","No")</f>
        <v>No</v>
      </c>
    </row>
    <row r="226" spans="1:10" x14ac:dyDescent="0.2">
      <c r="A226" s="3" t="s">
        <v>649</v>
      </c>
      <c r="B226" s="3" t="s">
        <v>483</v>
      </c>
      <c r="C226" s="3" t="s">
        <v>484</v>
      </c>
      <c r="D226" s="3" t="s">
        <v>485</v>
      </c>
      <c r="E226" s="3" t="s">
        <v>135</v>
      </c>
      <c r="F226" s="3" t="s">
        <v>650</v>
      </c>
      <c r="G226" s="3" t="s">
        <v>101</v>
      </c>
      <c r="H226" s="4">
        <v>45307</v>
      </c>
      <c r="I226" s="7">
        <v>945</v>
      </c>
      <c r="J226" s="3" t="str">
        <f>IF(Sales[[#This Row],[Purchase Amount]]&gt;0,"Yes","No")</f>
        <v>Yes</v>
      </c>
    </row>
    <row r="227" spans="1:10" x14ac:dyDescent="0.2">
      <c r="A227" s="3" t="s">
        <v>651</v>
      </c>
      <c r="B227" s="3" t="s">
        <v>247</v>
      </c>
      <c r="C227" s="3" t="s">
        <v>248</v>
      </c>
      <c r="D227" s="3" t="s">
        <v>249</v>
      </c>
      <c r="E227" s="3" t="s">
        <v>118</v>
      </c>
      <c r="F227" s="3" t="s">
        <v>549</v>
      </c>
      <c r="G227" s="3" t="s">
        <v>101</v>
      </c>
      <c r="H227" s="4">
        <v>45307</v>
      </c>
      <c r="I227" s="7">
        <v>595</v>
      </c>
      <c r="J227" s="3" t="str">
        <f>IF(Sales[[#This Row],[Purchase Amount]]&gt;0,"Yes","No")</f>
        <v>Yes</v>
      </c>
    </row>
    <row r="228" spans="1:10" x14ac:dyDescent="0.2">
      <c r="A228" s="3" t="s">
        <v>652</v>
      </c>
      <c r="B228" s="3" t="s">
        <v>185</v>
      </c>
      <c r="C228" s="3" t="s">
        <v>186</v>
      </c>
      <c r="D228" s="3" t="s">
        <v>187</v>
      </c>
      <c r="E228" s="3" t="s">
        <v>151</v>
      </c>
      <c r="F228" s="3" t="s">
        <v>205</v>
      </c>
      <c r="G228" s="3" t="s">
        <v>101</v>
      </c>
      <c r="H228" s="4">
        <v>45308</v>
      </c>
      <c r="I228" s="7"/>
      <c r="J228" s="3" t="str">
        <f>IF(Sales[[#This Row],[Purchase Amount]]&gt;0,"Yes","No")</f>
        <v>No</v>
      </c>
    </row>
    <row r="229" spans="1:10" x14ac:dyDescent="0.2">
      <c r="A229" s="3" t="s">
        <v>653</v>
      </c>
      <c r="B229" s="3" t="s">
        <v>499</v>
      </c>
      <c r="C229" s="3" t="s">
        <v>500</v>
      </c>
      <c r="D229" s="3" t="s">
        <v>501</v>
      </c>
      <c r="E229" s="3" t="s">
        <v>172</v>
      </c>
      <c r="F229" s="3" t="s">
        <v>451</v>
      </c>
      <c r="G229" s="3" t="s">
        <v>102</v>
      </c>
      <c r="H229" s="4">
        <v>45308</v>
      </c>
      <c r="I229" s="7"/>
      <c r="J229" s="3" t="str">
        <f>IF(Sales[[#This Row],[Purchase Amount]]&gt;0,"Yes","No")</f>
        <v>No</v>
      </c>
    </row>
    <row r="230" spans="1:10" x14ac:dyDescent="0.2">
      <c r="A230" s="3" t="s">
        <v>654</v>
      </c>
      <c r="B230" s="3" t="s">
        <v>312</v>
      </c>
      <c r="C230" s="3" t="s">
        <v>313</v>
      </c>
      <c r="D230" s="3" t="s">
        <v>314</v>
      </c>
      <c r="E230" s="3" t="s">
        <v>135</v>
      </c>
      <c r="F230" s="3" t="s">
        <v>119</v>
      </c>
      <c r="G230" s="3" t="s">
        <v>100</v>
      </c>
      <c r="H230" s="4">
        <v>45308</v>
      </c>
      <c r="I230" s="7">
        <v>365</v>
      </c>
      <c r="J230" s="3" t="str">
        <f>IF(Sales[[#This Row],[Purchase Amount]]&gt;0,"Yes","No")</f>
        <v>Yes</v>
      </c>
    </row>
    <row r="231" spans="1:10" x14ac:dyDescent="0.2">
      <c r="A231" s="3" t="s">
        <v>655</v>
      </c>
      <c r="B231" s="3" t="s">
        <v>282</v>
      </c>
      <c r="C231" s="3" t="s">
        <v>283</v>
      </c>
      <c r="D231" s="3" t="s">
        <v>284</v>
      </c>
      <c r="E231" s="3" t="s">
        <v>124</v>
      </c>
      <c r="F231" s="3" t="s">
        <v>285</v>
      </c>
      <c r="G231" s="3" t="s">
        <v>102</v>
      </c>
      <c r="H231" s="4">
        <v>45308</v>
      </c>
      <c r="I231" s="7">
        <v>1680</v>
      </c>
      <c r="J231" s="3" t="str">
        <f>IF(Sales[[#This Row],[Purchase Amount]]&gt;0,"Yes","No")</f>
        <v>Yes</v>
      </c>
    </row>
    <row r="232" spans="1:10" x14ac:dyDescent="0.2">
      <c r="A232" s="3" t="s">
        <v>656</v>
      </c>
      <c r="B232" s="3" t="s">
        <v>332</v>
      </c>
      <c r="C232" s="3" t="s">
        <v>333</v>
      </c>
      <c r="D232" s="3" t="s">
        <v>334</v>
      </c>
      <c r="E232" s="3" t="s">
        <v>335</v>
      </c>
      <c r="F232" s="3" t="s">
        <v>141</v>
      </c>
      <c r="G232" s="3" t="s">
        <v>100</v>
      </c>
      <c r="H232" s="4">
        <v>45308</v>
      </c>
      <c r="I232" s="7">
        <v>835</v>
      </c>
      <c r="J232" s="3" t="str">
        <f>IF(Sales[[#This Row],[Purchase Amount]]&gt;0,"Yes","No")</f>
        <v>Yes</v>
      </c>
    </row>
    <row r="233" spans="1:10" x14ac:dyDescent="0.2">
      <c r="A233" s="3" t="s">
        <v>657</v>
      </c>
      <c r="B233" s="3" t="s">
        <v>353</v>
      </c>
      <c r="C233" s="3" t="s">
        <v>354</v>
      </c>
      <c r="D233" s="3" t="s">
        <v>355</v>
      </c>
      <c r="E233" s="3" t="s">
        <v>151</v>
      </c>
      <c r="F233" s="3" t="s">
        <v>157</v>
      </c>
      <c r="G233" s="3" t="s">
        <v>101</v>
      </c>
      <c r="H233" s="4">
        <v>45308</v>
      </c>
      <c r="I233" s="7">
        <v>190</v>
      </c>
      <c r="J233" s="3" t="str">
        <f>IF(Sales[[#This Row],[Purchase Amount]]&gt;0,"Yes","No")</f>
        <v>Yes</v>
      </c>
    </row>
    <row r="234" spans="1:10" x14ac:dyDescent="0.2">
      <c r="A234" s="3" t="s">
        <v>658</v>
      </c>
      <c r="B234" s="3" t="s">
        <v>538</v>
      </c>
      <c r="C234" s="3" t="s">
        <v>539</v>
      </c>
      <c r="D234" s="3" t="s">
        <v>540</v>
      </c>
      <c r="E234" s="3" t="s">
        <v>118</v>
      </c>
      <c r="F234" s="3" t="s">
        <v>330</v>
      </c>
      <c r="G234" s="3" t="s">
        <v>102</v>
      </c>
      <c r="H234" s="4">
        <v>45309</v>
      </c>
      <c r="I234" s="7"/>
      <c r="J234" s="3" t="str">
        <f>IF(Sales[[#This Row],[Purchase Amount]]&gt;0,"Yes","No")</f>
        <v>No</v>
      </c>
    </row>
    <row r="235" spans="1:10" x14ac:dyDescent="0.2">
      <c r="A235" s="3" t="s">
        <v>659</v>
      </c>
      <c r="B235" s="3" t="s">
        <v>358</v>
      </c>
      <c r="C235" s="3" t="s">
        <v>359</v>
      </c>
      <c r="D235" s="3" t="s">
        <v>360</v>
      </c>
      <c r="E235" s="3" t="s">
        <v>335</v>
      </c>
      <c r="F235" s="3" t="s">
        <v>245</v>
      </c>
      <c r="G235" s="3" t="s">
        <v>101</v>
      </c>
      <c r="H235" s="4">
        <v>45309</v>
      </c>
      <c r="I235" s="7"/>
      <c r="J235" s="3" t="str">
        <f>IF(Sales[[#This Row],[Purchase Amount]]&gt;0,"Yes","No")</f>
        <v>No</v>
      </c>
    </row>
    <row r="236" spans="1:10" x14ac:dyDescent="0.2">
      <c r="A236" s="3" t="s">
        <v>660</v>
      </c>
      <c r="B236" s="3" t="s">
        <v>300</v>
      </c>
      <c r="C236" s="3" t="s">
        <v>301</v>
      </c>
      <c r="D236" s="3" t="s">
        <v>302</v>
      </c>
      <c r="E236" s="3" t="s">
        <v>198</v>
      </c>
      <c r="F236" s="3" t="s">
        <v>211</v>
      </c>
      <c r="G236" s="3" t="s">
        <v>99</v>
      </c>
      <c r="H236" s="4">
        <v>45309</v>
      </c>
      <c r="I236" s="7">
        <v>1815</v>
      </c>
      <c r="J236" s="3" t="str">
        <f>IF(Sales[[#This Row],[Purchase Amount]]&gt;0,"Yes","No")</f>
        <v>Yes</v>
      </c>
    </row>
    <row r="237" spans="1:10" x14ac:dyDescent="0.2">
      <c r="A237" s="3" t="s">
        <v>661</v>
      </c>
      <c r="B237" s="3" t="s">
        <v>394</v>
      </c>
      <c r="C237" s="3" t="s">
        <v>395</v>
      </c>
      <c r="D237" s="3" t="s">
        <v>396</v>
      </c>
      <c r="E237" s="3" t="s">
        <v>118</v>
      </c>
      <c r="F237" s="3" t="s">
        <v>157</v>
      </c>
      <c r="G237" s="3" t="s">
        <v>101</v>
      </c>
      <c r="H237" s="4">
        <v>45309</v>
      </c>
      <c r="I237" s="7">
        <v>720</v>
      </c>
      <c r="J237" s="3" t="str">
        <f>IF(Sales[[#This Row],[Purchase Amount]]&gt;0,"Yes","No")</f>
        <v>Yes</v>
      </c>
    </row>
    <row r="238" spans="1:10" x14ac:dyDescent="0.2">
      <c r="A238" s="3" t="s">
        <v>662</v>
      </c>
      <c r="B238" s="3" t="s">
        <v>555</v>
      </c>
      <c r="C238" s="3" t="s">
        <v>556</v>
      </c>
      <c r="D238" s="3" t="s">
        <v>557</v>
      </c>
      <c r="E238" s="3" t="s">
        <v>172</v>
      </c>
      <c r="F238" s="3" t="s">
        <v>512</v>
      </c>
      <c r="G238" s="3" t="s">
        <v>102</v>
      </c>
      <c r="H238" s="4">
        <v>45309</v>
      </c>
      <c r="I238" s="7">
        <v>75</v>
      </c>
      <c r="J238" s="3" t="str">
        <f>IF(Sales[[#This Row],[Purchase Amount]]&gt;0,"Yes","No")</f>
        <v>Yes</v>
      </c>
    </row>
    <row r="239" spans="1:10" x14ac:dyDescent="0.2">
      <c r="A239" s="3" t="s">
        <v>663</v>
      </c>
      <c r="B239" s="3" t="s">
        <v>312</v>
      </c>
      <c r="C239" s="3" t="s">
        <v>313</v>
      </c>
      <c r="D239" s="3" t="s">
        <v>314</v>
      </c>
      <c r="E239" s="3" t="s">
        <v>135</v>
      </c>
      <c r="F239" s="3" t="s">
        <v>664</v>
      </c>
      <c r="G239" s="3" t="s">
        <v>100</v>
      </c>
      <c r="H239" s="4">
        <v>45310</v>
      </c>
      <c r="I239" s="7"/>
      <c r="J239" s="3" t="str">
        <f>IF(Sales[[#This Row],[Purchase Amount]]&gt;0,"Yes","No")</f>
        <v>No</v>
      </c>
    </row>
    <row r="240" spans="1:10" x14ac:dyDescent="0.2">
      <c r="A240" s="3" t="s">
        <v>665</v>
      </c>
      <c r="B240" s="3" t="s">
        <v>478</v>
      </c>
      <c r="C240" s="3" t="s">
        <v>479</v>
      </c>
      <c r="D240" s="3" t="s">
        <v>480</v>
      </c>
      <c r="E240" s="3" t="s">
        <v>124</v>
      </c>
      <c r="F240" s="3" t="s">
        <v>146</v>
      </c>
      <c r="G240" s="3" t="s">
        <v>102</v>
      </c>
      <c r="H240" s="4">
        <v>45310</v>
      </c>
      <c r="I240" s="7"/>
      <c r="J240" s="3" t="str">
        <f>IF(Sales[[#This Row],[Purchase Amount]]&gt;0,"Yes","No")</f>
        <v>No</v>
      </c>
    </row>
    <row r="241" spans="1:10" x14ac:dyDescent="0.2">
      <c r="A241" s="3" t="s">
        <v>666</v>
      </c>
      <c r="B241" s="3" t="s">
        <v>667</v>
      </c>
      <c r="C241" s="3" t="s">
        <v>668</v>
      </c>
      <c r="D241" s="3" t="s">
        <v>669</v>
      </c>
      <c r="E241" s="3" t="s">
        <v>151</v>
      </c>
      <c r="F241" s="3" t="s">
        <v>388</v>
      </c>
      <c r="G241" s="3" t="s">
        <v>101</v>
      </c>
      <c r="H241" s="4">
        <v>45310</v>
      </c>
      <c r="I241" s="7">
        <v>485</v>
      </c>
      <c r="J241" s="3" t="str">
        <f>IF(Sales[[#This Row],[Purchase Amount]]&gt;0,"Yes","No")</f>
        <v>Yes</v>
      </c>
    </row>
    <row r="242" spans="1:10" x14ac:dyDescent="0.2">
      <c r="A242" s="3" t="s">
        <v>670</v>
      </c>
      <c r="B242" s="3" t="s">
        <v>671</v>
      </c>
      <c r="C242" s="3" t="s">
        <v>672</v>
      </c>
      <c r="D242" s="3" t="s">
        <v>673</v>
      </c>
      <c r="E242" s="3" t="s">
        <v>135</v>
      </c>
      <c r="F242" s="3" t="s">
        <v>330</v>
      </c>
      <c r="G242" s="3" t="s">
        <v>100</v>
      </c>
      <c r="H242" s="4">
        <v>45310</v>
      </c>
      <c r="I242" s="7">
        <v>5</v>
      </c>
      <c r="J242" s="3" t="str">
        <f>IF(Sales[[#This Row],[Purchase Amount]]&gt;0,"Yes","No")</f>
        <v>Yes</v>
      </c>
    </row>
    <row r="243" spans="1:10" x14ac:dyDescent="0.2">
      <c r="A243" s="3" t="s">
        <v>674</v>
      </c>
      <c r="B243" s="3" t="s">
        <v>394</v>
      </c>
      <c r="C243" s="3" t="s">
        <v>395</v>
      </c>
      <c r="D243" s="3" t="s">
        <v>396</v>
      </c>
      <c r="E243" s="3" t="s">
        <v>118</v>
      </c>
      <c r="F243" s="3" t="s">
        <v>205</v>
      </c>
      <c r="G243" s="3" t="s">
        <v>100</v>
      </c>
      <c r="H243" s="4">
        <v>45310</v>
      </c>
      <c r="I243" s="7">
        <v>530</v>
      </c>
      <c r="J243" s="3" t="str">
        <f>IF(Sales[[#This Row],[Purchase Amount]]&gt;0,"Yes","No")</f>
        <v>Yes</v>
      </c>
    </row>
    <row r="244" spans="1:10" x14ac:dyDescent="0.2">
      <c r="A244" s="3" t="s">
        <v>675</v>
      </c>
      <c r="B244" s="3" t="s">
        <v>367</v>
      </c>
      <c r="C244" s="3" t="s">
        <v>368</v>
      </c>
      <c r="D244" s="3" t="s">
        <v>369</v>
      </c>
      <c r="E244" s="3" t="s">
        <v>135</v>
      </c>
      <c r="F244" s="3" t="s">
        <v>260</v>
      </c>
      <c r="G244" s="3" t="s">
        <v>101</v>
      </c>
      <c r="H244" s="4">
        <v>45310</v>
      </c>
      <c r="I244" s="7">
        <v>1500</v>
      </c>
      <c r="J244" s="3" t="str">
        <f>IF(Sales[[#This Row],[Purchase Amount]]&gt;0,"Yes","No")</f>
        <v>Yes</v>
      </c>
    </row>
    <row r="245" spans="1:10" x14ac:dyDescent="0.2">
      <c r="A245" s="3" t="s">
        <v>676</v>
      </c>
      <c r="B245" s="3" t="s">
        <v>523</v>
      </c>
      <c r="C245" s="3" t="s">
        <v>524</v>
      </c>
      <c r="D245" s="3" t="s">
        <v>525</v>
      </c>
      <c r="E245" s="3" t="s">
        <v>124</v>
      </c>
      <c r="F245" s="3" t="s">
        <v>481</v>
      </c>
      <c r="G245" s="3" t="s">
        <v>102</v>
      </c>
      <c r="H245" s="4">
        <v>45311</v>
      </c>
      <c r="I245" s="7">
        <v>630</v>
      </c>
      <c r="J245" s="3" t="str">
        <f>IF(Sales[[#This Row],[Purchase Amount]]&gt;0,"Yes","No")</f>
        <v>Yes</v>
      </c>
    </row>
    <row r="246" spans="1:10" x14ac:dyDescent="0.2">
      <c r="A246" s="3" t="s">
        <v>677</v>
      </c>
      <c r="B246" s="3" t="s">
        <v>402</v>
      </c>
      <c r="C246" s="3" t="s">
        <v>403</v>
      </c>
      <c r="D246" s="3" t="s">
        <v>404</v>
      </c>
      <c r="E246" s="3" t="s">
        <v>151</v>
      </c>
      <c r="F246" s="3" t="s">
        <v>193</v>
      </c>
      <c r="G246" s="3" t="s">
        <v>101</v>
      </c>
      <c r="H246" s="4">
        <v>45311</v>
      </c>
      <c r="I246" s="7">
        <v>445</v>
      </c>
      <c r="J246" s="3" t="str">
        <f>IF(Sales[[#This Row],[Purchase Amount]]&gt;0,"Yes","No")</f>
        <v>Yes</v>
      </c>
    </row>
    <row r="247" spans="1:10" x14ac:dyDescent="0.2">
      <c r="A247" s="3" t="s">
        <v>678</v>
      </c>
      <c r="B247" s="3" t="s">
        <v>679</v>
      </c>
      <c r="C247" s="3" t="s">
        <v>680</v>
      </c>
      <c r="D247" s="3" t="s">
        <v>681</v>
      </c>
      <c r="E247" s="3" t="s">
        <v>124</v>
      </c>
      <c r="F247" s="3" t="s">
        <v>205</v>
      </c>
      <c r="G247" s="3" t="s">
        <v>101</v>
      </c>
      <c r="H247" s="4">
        <v>45311</v>
      </c>
      <c r="I247" s="7">
        <v>910</v>
      </c>
      <c r="J247" s="3" t="str">
        <f>IF(Sales[[#This Row],[Purchase Amount]]&gt;0,"Yes","No")</f>
        <v>Yes</v>
      </c>
    </row>
    <row r="248" spans="1:10" x14ac:dyDescent="0.2">
      <c r="A248" s="3" t="s">
        <v>682</v>
      </c>
      <c r="B248" s="3" t="s">
        <v>269</v>
      </c>
      <c r="C248" s="3" t="s">
        <v>270</v>
      </c>
      <c r="D248" s="3" t="s">
        <v>271</v>
      </c>
      <c r="E248" s="3" t="s">
        <v>272</v>
      </c>
      <c r="F248" s="3" t="s">
        <v>157</v>
      </c>
      <c r="G248" s="3" t="s">
        <v>102</v>
      </c>
      <c r="H248" s="4">
        <v>45311</v>
      </c>
      <c r="I248" s="7">
        <v>915</v>
      </c>
      <c r="J248" s="3" t="str">
        <f>IF(Sales[[#This Row],[Purchase Amount]]&gt;0,"Yes","No")</f>
        <v>Yes</v>
      </c>
    </row>
    <row r="249" spans="1:10" x14ac:dyDescent="0.2">
      <c r="A249" s="3" t="s">
        <v>683</v>
      </c>
      <c r="B249" s="3" t="s">
        <v>227</v>
      </c>
      <c r="C249" s="3" t="s">
        <v>228</v>
      </c>
      <c r="D249" s="3" t="s">
        <v>229</v>
      </c>
      <c r="E249" s="3" t="s">
        <v>151</v>
      </c>
      <c r="F249" s="3" t="s">
        <v>136</v>
      </c>
      <c r="G249" s="3" t="s">
        <v>102</v>
      </c>
      <c r="H249" s="4">
        <v>45311</v>
      </c>
      <c r="I249" s="7">
        <v>45</v>
      </c>
      <c r="J249" s="3" t="str">
        <f>IF(Sales[[#This Row],[Purchase Amount]]&gt;0,"Yes","No")</f>
        <v>Yes</v>
      </c>
    </row>
    <row r="250" spans="1:10" x14ac:dyDescent="0.2">
      <c r="A250" s="3" t="s">
        <v>684</v>
      </c>
      <c r="B250" s="3" t="s">
        <v>115</v>
      </c>
      <c r="C250" s="3" t="s">
        <v>116</v>
      </c>
      <c r="D250" s="3" t="s">
        <v>117</v>
      </c>
      <c r="E250" s="3" t="s">
        <v>118</v>
      </c>
      <c r="F250" s="3" t="s">
        <v>285</v>
      </c>
      <c r="G250" s="3" t="s">
        <v>101</v>
      </c>
      <c r="H250" s="4">
        <v>45312</v>
      </c>
      <c r="I250" s="7"/>
      <c r="J250" s="3" t="str">
        <f>IF(Sales[[#This Row],[Purchase Amount]]&gt;0,"Yes","No")</f>
        <v>No</v>
      </c>
    </row>
    <row r="251" spans="1:10" x14ac:dyDescent="0.2">
      <c r="A251" s="3" t="s">
        <v>685</v>
      </c>
      <c r="B251" s="3" t="s">
        <v>185</v>
      </c>
      <c r="C251" s="3" t="s">
        <v>186</v>
      </c>
      <c r="D251" s="3" t="s">
        <v>187</v>
      </c>
      <c r="E251" s="3" t="s">
        <v>151</v>
      </c>
      <c r="F251" s="3" t="s">
        <v>431</v>
      </c>
      <c r="G251" s="3" t="s">
        <v>101</v>
      </c>
      <c r="H251" s="4">
        <v>45312</v>
      </c>
      <c r="I251" s="7">
        <v>20</v>
      </c>
      <c r="J251" s="3" t="str">
        <f>IF(Sales[[#This Row],[Purchase Amount]]&gt;0,"Yes","No")</f>
        <v>Yes</v>
      </c>
    </row>
    <row r="252" spans="1:10" x14ac:dyDescent="0.2">
      <c r="A252" s="3" t="s">
        <v>686</v>
      </c>
      <c r="B252" s="3" t="s">
        <v>322</v>
      </c>
      <c r="C252" s="3" t="s">
        <v>323</v>
      </c>
      <c r="D252" s="3" t="s">
        <v>324</v>
      </c>
      <c r="E252" s="3" t="s">
        <v>198</v>
      </c>
      <c r="F252" s="3" t="s">
        <v>406</v>
      </c>
      <c r="G252" s="3" t="s">
        <v>101</v>
      </c>
      <c r="H252" s="4">
        <v>45312</v>
      </c>
      <c r="I252" s="7">
        <v>860</v>
      </c>
      <c r="J252" s="3" t="str">
        <f>IF(Sales[[#This Row],[Purchase Amount]]&gt;0,"Yes","No")</f>
        <v>Yes</v>
      </c>
    </row>
    <row r="253" spans="1:10" x14ac:dyDescent="0.2">
      <c r="A253" s="3" t="s">
        <v>687</v>
      </c>
      <c r="B253" s="3" t="s">
        <v>159</v>
      </c>
      <c r="C253" s="3" t="s">
        <v>160</v>
      </c>
      <c r="D253" s="3" t="s">
        <v>161</v>
      </c>
      <c r="E253" s="3" t="s">
        <v>130</v>
      </c>
      <c r="F253" s="3" t="s">
        <v>245</v>
      </c>
      <c r="G253" s="3" t="s">
        <v>100</v>
      </c>
      <c r="H253" s="4">
        <v>45312</v>
      </c>
      <c r="I253" s="7">
        <v>945</v>
      </c>
      <c r="J253" s="3" t="str">
        <f>IF(Sales[[#This Row],[Purchase Amount]]&gt;0,"Yes","No")</f>
        <v>Yes</v>
      </c>
    </row>
    <row r="254" spans="1:10" x14ac:dyDescent="0.2">
      <c r="A254" s="3" t="s">
        <v>688</v>
      </c>
      <c r="B254" s="3" t="s">
        <v>202</v>
      </c>
      <c r="C254" s="3" t="s">
        <v>203</v>
      </c>
      <c r="D254" s="3" t="s">
        <v>204</v>
      </c>
      <c r="E254" s="3" t="s">
        <v>172</v>
      </c>
      <c r="F254" s="3" t="s">
        <v>451</v>
      </c>
      <c r="G254" s="3" t="s">
        <v>100</v>
      </c>
      <c r="H254" s="4">
        <v>45312</v>
      </c>
      <c r="I254" s="7">
        <v>330</v>
      </c>
      <c r="J254" s="3" t="str">
        <f>IF(Sales[[#This Row],[Purchase Amount]]&gt;0,"Yes","No")</f>
        <v>Yes</v>
      </c>
    </row>
    <row r="255" spans="1:10" x14ac:dyDescent="0.2">
      <c r="A255" s="3" t="s">
        <v>689</v>
      </c>
      <c r="B255" s="3" t="s">
        <v>576</v>
      </c>
      <c r="C255" s="3" t="s">
        <v>577</v>
      </c>
      <c r="D255" s="3" t="s">
        <v>578</v>
      </c>
      <c r="E255" s="3" t="s">
        <v>210</v>
      </c>
      <c r="F255" s="3" t="s">
        <v>365</v>
      </c>
      <c r="G255" s="3" t="s">
        <v>102</v>
      </c>
      <c r="H255" s="4">
        <v>45313</v>
      </c>
      <c r="I255" s="7"/>
      <c r="J255" s="3" t="str">
        <f>IF(Sales[[#This Row],[Purchase Amount]]&gt;0,"Yes","No")</f>
        <v>No</v>
      </c>
    </row>
    <row r="256" spans="1:10" x14ac:dyDescent="0.2">
      <c r="A256" s="3" t="s">
        <v>690</v>
      </c>
      <c r="B256" s="3" t="s">
        <v>483</v>
      </c>
      <c r="C256" s="3" t="s">
        <v>484</v>
      </c>
      <c r="D256" s="3" t="s">
        <v>485</v>
      </c>
      <c r="E256" s="3" t="s">
        <v>135</v>
      </c>
      <c r="F256" s="3" t="s">
        <v>157</v>
      </c>
      <c r="G256" s="3" t="s">
        <v>102</v>
      </c>
      <c r="H256" s="4">
        <v>45313</v>
      </c>
      <c r="I256" s="7"/>
      <c r="J256" s="3" t="str">
        <f>IF(Sales[[#This Row],[Purchase Amount]]&gt;0,"Yes","No")</f>
        <v>No</v>
      </c>
    </row>
    <row r="257" spans="1:10" x14ac:dyDescent="0.2">
      <c r="A257" s="3" t="s">
        <v>691</v>
      </c>
      <c r="B257" s="3" t="s">
        <v>523</v>
      </c>
      <c r="C257" s="3" t="s">
        <v>524</v>
      </c>
      <c r="D257" s="3" t="s">
        <v>525</v>
      </c>
      <c r="E257" s="3" t="s">
        <v>124</v>
      </c>
      <c r="F257" s="3" t="s">
        <v>193</v>
      </c>
      <c r="G257" s="3" t="s">
        <v>102</v>
      </c>
      <c r="H257" s="4">
        <v>45313</v>
      </c>
      <c r="I257" s="7"/>
      <c r="J257" s="3" t="str">
        <f>IF(Sales[[#This Row],[Purchase Amount]]&gt;0,"Yes","No")</f>
        <v>No</v>
      </c>
    </row>
    <row r="258" spans="1:10" x14ac:dyDescent="0.2">
      <c r="A258" s="3" t="s">
        <v>692</v>
      </c>
      <c r="B258" s="3" t="s">
        <v>414</v>
      </c>
      <c r="C258" s="3" t="s">
        <v>415</v>
      </c>
      <c r="D258" s="3" t="s">
        <v>416</v>
      </c>
      <c r="E258" s="3" t="s">
        <v>118</v>
      </c>
      <c r="F258" s="3" t="s">
        <v>231</v>
      </c>
      <c r="G258" s="3" t="s">
        <v>102</v>
      </c>
      <c r="H258" s="4">
        <v>45314</v>
      </c>
      <c r="I258" s="7"/>
      <c r="J258" s="3" t="str">
        <f>IF(Sales[[#This Row],[Purchase Amount]]&gt;0,"Yes","No")</f>
        <v>No</v>
      </c>
    </row>
    <row r="259" spans="1:10" x14ac:dyDescent="0.2">
      <c r="A259" s="3" t="s">
        <v>693</v>
      </c>
      <c r="B259" s="3" t="s">
        <v>202</v>
      </c>
      <c r="C259" s="3" t="s">
        <v>203</v>
      </c>
      <c r="D259" s="3" t="s">
        <v>204</v>
      </c>
      <c r="E259" s="3" t="s">
        <v>172</v>
      </c>
      <c r="F259" s="3" t="s">
        <v>211</v>
      </c>
      <c r="G259" s="3" t="s">
        <v>101</v>
      </c>
      <c r="H259" s="4">
        <v>45314</v>
      </c>
      <c r="I259" s="7"/>
      <c r="J259" s="3" t="str">
        <f>IF(Sales[[#This Row],[Purchase Amount]]&gt;0,"Yes","No")</f>
        <v>No</v>
      </c>
    </row>
    <row r="260" spans="1:10" x14ac:dyDescent="0.2">
      <c r="A260" s="3" t="s">
        <v>694</v>
      </c>
      <c r="B260" s="3" t="s">
        <v>523</v>
      </c>
      <c r="C260" s="3" t="s">
        <v>524</v>
      </c>
      <c r="D260" s="3" t="s">
        <v>525</v>
      </c>
      <c r="E260" s="3" t="s">
        <v>124</v>
      </c>
      <c r="F260" s="3" t="s">
        <v>157</v>
      </c>
      <c r="G260" s="3" t="s">
        <v>99</v>
      </c>
      <c r="H260" s="4">
        <v>45314</v>
      </c>
      <c r="I260" s="7">
        <v>1535</v>
      </c>
      <c r="J260" s="3" t="str">
        <f>IF(Sales[[#This Row],[Purchase Amount]]&gt;0,"Yes","No")</f>
        <v>Yes</v>
      </c>
    </row>
    <row r="261" spans="1:10" x14ac:dyDescent="0.2">
      <c r="A261" s="3" t="s">
        <v>695</v>
      </c>
      <c r="B261" s="3" t="s">
        <v>696</v>
      </c>
      <c r="C261" s="3" t="s">
        <v>697</v>
      </c>
      <c r="D261" s="3" t="s">
        <v>698</v>
      </c>
      <c r="E261" s="3" t="s">
        <v>172</v>
      </c>
      <c r="F261" s="3" t="s">
        <v>152</v>
      </c>
      <c r="G261" s="3" t="s">
        <v>100</v>
      </c>
      <c r="H261" s="4">
        <v>45314</v>
      </c>
      <c r="I261" s="7">
        <v>590</v>
      </c>
      <c r="J261" s="3" t="str">
        <f>IF(Sales[[#This Row],[Purchase Amount]]&gt;0,"Yes","No")</f>
        <v>Yes</v>
      </c>
    </row>
    <row r="262" spans="1:10" x14ac:dyDescent="0.2">
      <c r="A262" s="3" t="s">
        <v>699</v>
      </c>
      <c r="B262" s="3" t="s">
        <v>169</v>
      </c>
      <c r="C262" s="3" t="s">
        <v>170</v>
      </c>
      <c r="D262" s="3" t="s">
        <v>171</v>
      </c>
      <c r="E262" s="3" t="s">
        <v>172</v>
      </c>
      <c r="F262" s="3" t="s">
        <v>536</v>
      </c>
      <c r="G262" s="3" t="s">
        <v>102</v>
      </c>
      <c r="H262" s="4">
        <v>45314</v>
      </c>
      <c r="I262" s="7">
        <v>385</v>
      </c>
      <c r="J262" s="3" t="str">
        <f>IF(Sales[[#This Row],[Purchase Amount]]&gt;0,"Yes","No")</f>
        <v>Yes</v>
      </c>
    </row>
    <row r="263" spans="1:10" x14ac:dyDescent="0.2">
      <c r="A263" s="3" t="s">
        <v>700</v>
      </c>
      <c r="B263" s="3" t="s">
        <v>353</v>
      </c>
      <c r="C263" s="3" t="s">
        <v>354</v>
      </c>
      <c r="D263" s="3" t="s">
        <v>355</v>
      </c>
      <c r="E263" s="3" t="s">
        <v>151</v>
      </c>
      <c r="F263" s="3" t="s">
        <v>173</v>
      </c>
      <c r="G263" s="3" t="s">
        <v>102</v>
      </c>
      <c r="H263" s="4">
        <v>45315</v>
      </c>
      <c r="I263" s="7"/>
      <c r="J263" s="3" t="str">
        <f>IF(Sales[[#This Row],[Purchase Amount]]&gt;0,"Yes","No")</f>
        <v>No</v>
      </c>
    </row>
    <row r="264" spans="1:10" x14ac:dyDescent="0.2">
      <c r="A264" s="3" t="s">
        <v>701</v>
      </c>
      <c r="B264" s="3" t="s">
        <v>164</v>
      </c>
      <c r="C264" s="3" t="s">
        <v>165</v>
      </c>
      <c r="D264" s="3" t="s">
        <v>166</v>
      </c>
      <c r="E264" s="3" t="s">
        <v>130</v>
      </c>
      <c r="F264" s="3" t="s">
        <v>336</v>
      </c>
      <c r="G264" s="3" t="s">
        <v>101</v>
      </c>
      <c r="H264" s="4">
        <v>45315</v>
      </c>
      <c r="I264" s="7">
        <v>645</v>
      </c>
      <c r="J264" s="3" t="str">
        <f>IF(Sales[[#This Row],[Purchase Amount]]&gt;0,"Yes","No")</f>
        <v>Yes</v>
      </c>
    </row>
    <row r="265" spans="1:10" x14ac:dyDescent="0.2">
      <c r="A265" s="3" t="s">
        <v>702</v>
      </c>
      <c r="B265" s="3" t="s">
        <v>312</v>
      </c>
      <c r="C265" s="3" t="s">
        <v>313</v>
      </c>
      <c r="D265" s="3" t="s">
        <v>314</v>
      </c>
      <c r="E265" s="3" t="s">
        <v>135</v>
      </c>
      <c r="F265" s="3" t="s">
        <v>211</v>
      </c>
      <c r="G265" s="3" t="s">
        <v>102</v>
      </c>
      <c r="H265" s="4">
        <v>45315</v>
      </c>
      <c r="I265" s="7">
        <v>750</v>
      </c>
      <c r="J265" s="3" t="str">
        <f>IF(Sales[[#This Row],[Purchase Amount]]&gt;0,"Yes","No")</f>
        <v>Yes</v>
      </c>
    </row>
    <row r="266" spans="1:10" x14ac:dyDescent="0.2">
      <c r="A266" s="3" t="s">
        <v>703</v>
      </c>
      <c r="B266" s="3" t="s">
        <v>462</v>
      </c>
      <c r="C266" s="3" t="s">
        <v>463</v>
      </c>
      <c r="D266" s="3" t="s">
        <v>464</v>
      </c>
      <c r="E266" s="3" t="s">
        <v>198</v>
      </c>
      <c r="F266" s="3" t="s">
        <v>273</v>
      </c>
      <c r="G266" s="3" t="s">
        <v>99</v>
      </c>
      <c r="H266" s="4">
        <v>45315</v>
      </c>
      <c r="I266" s="7">
        <v>110</v>
      </c>
      <c r="J266" s="3" t="str">
        <f>IF(Sales[[#This Row],[Purchase Amount]]&gt;0,"Yes","No")</f>
        <v>Yes</v>
      </c>
    </row>
    <row r="267" spans="1:10" x14ac:dyDescent="0.2">
      <c r="A267" s="3" t="s">
        <v>704</v>
      </c>
      <c r="B267" s="3" t="s">
        <v>234</v>
      </c>
      <c r="C267" s="3" t="s">
        <v>235</v>
      </c>
      <c r="D267" s="3" t="s">
        <v>236</v>
      </c>
      <c r="E267" s="3" t="s">
        <v>118</v>
      </c>
      <c r="F267" s="3" t="s">
        <v>280</v>
      </c>
      <c r="G267" s="3" t="s">
        <v>100</v>
      </c>
      <c r="H267" s="4">
        <v>45315</v>
      </c>
      <c r="I267" s="7">
        <v>280</v>
      </c>
      <c r="J267" s="3" t="str">
        <f>IF(Sales[[#This Row],[Purchase Amount]]&gt;0,"Yes","No")</f>
        <v>Yes</v>
      </c>
    </row>
    <row r="268" spans="1:10" x14ac:dyDescent="0.2">
      <c r="A268" s="3" t="s">
        <v>705</v>
      </c>
      <c r="B268" s="3" t="s">
        <v>679</v>
      </c>
      <c r="C268" s="3" t="s">
        <v>680</v>
      </c>
      <c r="D268" s="3" t="s">
        <v>681</v>
      </c>
      <c r="E268" s="3" t="s">
        <v>124</v>
      </c>
      <c r="F268" s="3" t="s">
        <v>303</v>
      </c>
      <c r="G268" s="3" t="s">
        <v>99</v>
      </c>
      <c r="H268" s="4">
        <v>45316</v>
      </c>
      <c r="I268" s="7"/>
      <c r="J268" s="3" t="str">
        <f>IF(Sales[[#This Row],[Purchase Amount]]&gt;0,"Yes","No")</f>
        <v>No</v>
      </c>
    </row>
    <row r="269" spans="1:10" x14ac:dyDescent="0.2">
      <c r="A269" s="3" t="s">
        <v>706</v>
      </c>
      <c r="B269" s="3" t="s">
        <v>282</v>
      </c>
      <c r="C269" s="3" t="s">
        <v>283</v>
      </c>
      <c r="D269" s="3" t="s">
        <v>284</v>
      </c>
      <c r="E269" s="3" t="s">
        <v>124</v>
      </c>
      <c r="F269" s="3" t="s">
        <v>260</v>
      </c>
      <c r="G269" s="3" t="s">
        <v>100</v>
      </c>
      <c r="H269" s="4">
        <v>45316</v>
      </c>
      <c r="I269" s="7">
        <v>195</v>
      </c>
      <c r="J269" s="3" t="str">
        <f>IF(Sales[[#This Row],[Purchase Amount]]&gt;0,"Yes","No")</f>
        <v>Yes</v>
      </c>
    </row>
    <row r="270" spans="1:10" x14ac:dyDescent="0.2">
      <c r="A270" s="3" t="s">
        <v>707</v>
      </c>
      <c r="B270" s="3" t="s">
        <v>332</v>
      </c>
      <c r="C270" s="3" t="s">
        <v>333</v>
      </c>
      <c r="D270" s="3" t="s">
        <v>334</v>
      </c>
      <c r="E270" s="3" t="s">
        <v>335</v>
      </c>
      <c r="F270" s="3" t="s">
        <v>231</v>
      </c>
      <c r="G270" s="3" t="s">
        <v>99</v>
      </c>
      <c r="H270" s="4">
        <v>45316</v>
      </c>
      <c r="I270" s="7">
        <v>810</v>
      </c>
      <c r="J270" s="3" t="str">
        <f>IF(Sales[[#This Row],[Purchase Amount]]&gt;0,"Yes","No")</f>
        <v>Yes</v>
      </c>
    </row>
    <row r="271" spans="1:10" x14ac:dyDescent="0.2">
      <c r="A271" s="3" t="s">
        <v>708</v>
      </c>
      <c r="B271" s="3" t="s">
        <v>394</v>
      </c>
      <c r="C271" s="3" t="s">
        <v>395</v>
      </c>
      <c r="D271" s="3" t="s">
        <v>396</v>
      </c>
      <c r="E271" s="3" t="s">
        <v>118</v>
      </c>
      <c r="F271" s="3" t="s">
        <v>604</v>
      </c>
      <c r="G271" s="3" t="s">
        <v>100</v>
      </c>
      <c r="H271" s="4">
        <v>45316</v>
      </c>
      <c r="I271" s="7">
        <v>690</v>
      </c>
      <c r="J271" s="3" t="str">
        <f>IF(Sales[[#This Row],[Purchase Amount]]&gt;0,"Yes","No")</f>
        <v>Yes</v>
      </c>
    </row>
    <row r="272" spans="1:10" x14ac:dyDescent="0.2">
      <c r="A272" s="3" t="s">
        <v>709</v>
      </c>
      <c r="B272" s="3" t="s">
        <v>127</v>
      </c>
      <c r="C272" s="3" t="s">
        <v>128</v>
      </c>
      <c r="D272" s="3" t="s">
        <v>129</v>
      </c>
      <c r="E272" s="3" t="s">
        <v>130</v>
      </c>
      <c r="F272" s="3" t="s">
        <v>178</v>
      </c>
      <c r="G272" s="3" t="s">
        <v>102</v>
      </c>
      <c r="H272" s="4">
        <v>45316</v>
      </c>
      <c r="I272" s="7">
        <v>300</v>
      </c>
      <c r="J272" s="3" t="str">
        <f>IF(Sales[[#This Row],[Purchase Amount]]&gt;0,"Yes","No")</f>
        <v>Yes</v>
      </c>
    </row>
    <row r="273" spans="1:10" x14ac:dyDescent="0.2">
      <c r="A273" s="3" t="s">
        <v>710</v>
      </c>
      <c r="B273" s="3" t="s">
        <v>277</v>
      </c>
      <c r="C273" s="3" t="s">
        <v>278</v>
      </c>
      <c r="D273" s="3" t="s">
        <v>279</v>
      </c>
      <c r="E273" s="3" t="s">
        <v>198</v>
      </c>
      <c r="F273" s="3" t="s">
        <v>336</v>
      </c>
      <c r="G273" s="3" t="s">
        <v>102</v>
      </c>
      <c r="H273" s="4">
        <v>45316</v>
      </c>
      <c r="I273" s="7">
        <v>825</v>
      </c>
      <c r="J273" s="3" t="str">
        <f>IF(Sales[[#This Row],[Purchase Amount]]&gt;0,"Yes","No")</f>
        <v>Yes</v>
      </c>
    </row>
    <row r="274" spans="1:10" x14ac:dyDescent="0.2">
      <c r="A274" s="3" t="s">
        <v>711</v>
      </c>
      <c r="B274" s="3" t="s">
        <v>712</v>
      </c>
      <c r="C274" s="3" t="s">
        <v>713</v>
      </c>
      <c r="D274" s="3" t="s">
        <v>714</v>
      </c>
      <c r="E274" s="3" t="s">
        <v>135</v>
      </c>
      <c r="F274" s="3" t="s">
        <v>250</v>
      </c>
      <c r="G274" s="3" t="s">
        <v>102</v>
      </c>
      <c r="H274" s="4">
        <v>45316</v>
      </c>
      <c r="I274" s="7">
        <v>460</v>
      </c>
      <c r="J274" s="3" t="str">
        <f>IF(Sales[[#This Row],[Purchase Amount]]&gt;0,"Yes","No")</f>
        <v>Yes</v>
      </c>
    </row>
    <row r="275" spans="1:10" x14ac:dyDescent="0.2">
      <c r="A275" s="3" t="s">
        <v>715</v>
      </c>
      <c r="B275" s="3" t="s">
        <v>138</v>
      </c>
      <c r="C275" s="3" t="s">
        <v>139</v>
      </c>
      <c r="D275" s="3" t="s">
        <v>140</v>
      </c>
      <c r="E275" s="3" t="s">
        <v>135</v>
      </c>
      <c r="F275" s="3" t="s">
        <v>119</v>
      </c>
      <c r="G275" s="3" t="s">
        <v>100</v>
      </c>
      <c r="H275" s="4">
        <v>45317</v>
      </c>
      <c r="I275" s="7"/>
      <c r="J275" s="3" t="str">
        <f>IF(Sales[[#This Row],[Purchase Amount]]&gt;0,"Yes","No")</f>
        <v>No</v>
      </c>
    </row>
    <row r="276" spans="1:10" x14ac:dyDescent="0.2">
      <c r="A276" s="3" t="s">
        <v>716</v>
      </c>
      <c r="B276" s="3" t="s">
        <v>353</v>
      </c>
      <c r="C276" s="3" t="s">
        <v>354</v>
      </c>
      <c r="D276" s="3" t="s">
        <v>355</v>
      </c>
      <c r="E276" s="3" t="s">
        <v>151</v>
      </c>
      <c r="F276" s="3" t="s">
        <v>275</v>
      </c>
      <c r="G276" s="3" t="s">
        <v>102</v>
      </c>
      <c r="H276" s="4">
        <v>45317</v>
      </c>
      <c r="I276" s="7"/>
      <c r="J276" s="3" t="str">
        <f>IF(Sales[[#This Row],[Purchase Amount]]&gt;0,"Yes","No")</f>
        <v>No</v>
      </c>
    </row>
    <row r="277" spans="1:10" x14ac:dyDescent="0.2">
      <c r="A277" s="3" t="s">
        <v>717</v>
      </c>
      <c r="B277" s="3" t="s">
        <v>519</v>
      </c>
      <c r="C277" s="3" t="s">
        <v>520</v>
      </c>
      <c r="D277" s="3" t="s">
        <v>521</v>
      </c>
      <c r="E277" s="3" t="s">
        <v>118</v>
      </c>
      <c r="F277" s="3" t="s">
        <v>199</v>
      </c>
      <c r="G277" s="3" t="s">
        <v>100</v>
      </c>
      <c r="H277" s="4">
        <v>45317</v>
      </c>
      <c r="I277" s="7">
        <v>210</v>
      </c>
      <c r="J277" s="3" t="str">
        <f>IF(Sales[[#This Row],[Purchase Amount]]&gt;0,"Yes","No")</f>
        <v>Yes</v>
      </c>
    </row>
    <row r="278" spans="1:10" x14ac:dyDescent="0.2">
      <c r="A278" s="3" t="s">
        <v>718</v>
      </c>
      <c r="B278" s="3" t="s">
        <v>287</v>
      </c>
      <c r="C278" s="3" t="s">
        <v>288</v>
      </c>
      <c r="D278" s="3" t="s">
        <v>289</v>
      </c>
      <c r="E278" s="3" t="s">
        <v>151</v>
      </c>
      <c r="F278" s="3" t="s">
        <v>388</v>
      </c>
      <c r="G278" s="3" t="s">
        <v>101</v>
      </c>
      <c r="H278" s="4">
        <v>45317</v>
      </c>
      <c r="I278" s="7">
        <v>1170</v>
      </c>
      <c r="J278" s="3" t="str">
        <f>IF(Sales[[#This Row],[Purchase Amount]]&gt;0,"Yes","No")</f>
        <v>Yes</v>
      </c>
    </row>
    <row r="279" spans="1:10" x14ac:dyDescent="0.2">
      <c r="A279" s="3" t="s">
        <v>719</v>
      </c>
      <c r="B279" s="3" t="s">
        <v>696</v>
      </c>
      <c r="C279" s="3" t="s">
        <v>697</v>
      </c>
      <c r="D279" s="3" t="s">
        <v>698</v>
      </c>
      <c r="E279" s="3" t="s">
        <v>172</v>
      </c>
      <c r="F279" s="3" t="s">
        <v>341</v>
      </c>
      <c r="G279" s="3" t="s">
        <v>101</v>
      </c>
      <c r="H279" s="4">
        <v>45317</v>
      </c>
      <c r="I279" s="7">
        <v>645</v>
      </c>
      <c r="J279" s="3" t="str">
        <f>IF(Sales[[#This Row],[Purchase Amount]]&gt;0,"Yes","No")</f>
        <v>Yes</v>
      </c>
    </row>
    <row r="280" spans="1:10" x14ac:dyDescent="0.2">
      <c r="A280" s="3" t="s">
        <v>720</v>
      </c>
      <c r="B280" s="3" t="s">
        <v>222</v>
      </c>
      <c r="C280" s="3" t="s">
        <v>223</v>
      </c>
      <c r="D280" s="3" t="s">
        <v>224</v>
      </c>
      <c r="E280" s="3" t="s">
        <v>172</v>
      </c>
      <c r="F280" s="3" t="s">
        <v>141</v>
      </c>
      <c r="G280" s="3" t="s">
        <v>100</v>
      </c>
      <c r="H280" s="4">
        <v>45317</v>
      </c>
      <c r="I280" s="7">
        <v>785</v>
      </c>
      <c r="J280" s="3" t="str">
        <f>IF(Sales[[#This Row],[Purchase Amount]]&gt;0,"Yes","No")</f>
        <v>Yes</v>
      </c>
    </row>
    <row r="281" spans="1:10" x14ac:dyDescent="0.2">
      <c r="A281" s="3" t="s">
        <v>721</v>
      </c>
      <c r="B281" s="3" t="s">
        <v>164</v>
      </c>
      <c r="C281" s="3" t="s">
        <v>165</v>
      </c>
      <c r="D281" s="3" t="s">
        <v>166</v>
      </c>
      <c r="E281" s="3" t="s">
        <v>130</v>
      </c>
      <c r="F281" s="3" t="s">
        <v>320</v>
      </c>
      <c r="G281" s="3" t="s">
        <v>102</v>
      </c>
      <c r="H281" s="4">
        <v>45318</v>
      </c>
      <c r="I281" s="7"/>
      <c r="J281" s="3" t="str">
        <f>IF(Sales[[#This Row],[Purchase Amount]]&gt;0,"Yes","No")</f>
        <v>No</v>
      </c>
    </row>
    <row r="282" spans="1:10" x14ac:dyDescent="0.2">
      <c r="A282" s="3" t="s">
        <v>722</v>
      </c>
      <c r="B282" s="3" t="s">
        <v>91</v>
      </c>
      <c r="C282" s="3" t="s">
        <v>133</v>
      </c>
      <c r="D282" s="3" t="s">
        <v>134</v>
      </c>
      <c r="E282" s="3" t="s">
        <v>135</v>
      </c>
      <c r="F282" s="3" t="s">
        <v>183</v>
      </c>
      <c r="G282" s="3" t="s">
        <v>101</v>
      </c>
      <c r="H282" s="4">
        <v>45318</v>
      </c>
      <c r="I282" s="7"/>
      <c r="J282" s="3" t="str">
        <f>IF(Sales[[#This Row],[Purchase Amount]]&gt;0,"Yes","No")</f>
        <v>No</v>
      </c>
    </row>
    <row r="283" spans="1:10" x14ac:dyDescent="0.2">
      <c r="A283" s="3" t="s">
        <v>723</v>
      </c>
      <c r="B283" s="3" t="s">
        <v>381</v>
      </c>
      <c r="C283" s="3" t="s">
        <v>382</v>
      </c>
      <c r="D283" s="3" t="s">
        <v>383</v>
      </c>
      <c r="E283" s="3" t="s">
        <v>151</v>
      </c>
      <c r="F283" s="3" t="s">
        <v>406</v>
      </c>
      <c r="G283" s="3" t="s">
        <v>102</v>
      </c>
      <c r="H283" s="4">
        <v>45318</v>
      </c>
      <c r="I283" s="7"/>
      <c r="J283" s="3" t="str">
        <f>IF(Sales[[#This Row],[Purchase Amount]]&gt;0,"Yes","No")</f>
        <v>No</v>
      </c>
    </row>
    <row r="284" spans="1:10" x14ac:dyDescent="0.2">
      <c r="A284" s="3" t="s">
        <v>724</v>
      </c>
      <c r="B284" s="3" t="s">
        <v>394</v>
      </c>
      <c r="C284" s="3" t="s">
        <v>395</v>
      </c>
      <c r="D284" s="3" t="s">
        <v>396</v>
      </c>
      <c r="E284" s="3" t="s">
        <v>118</v>
      </c>
      <c r="F284" s="3" t="s">
        <v>336</v>
      </c>
      <c r="G284" s="3" t="s">
        <v>101</v>
      </c>
      <c r="H284" s="4">
        <v>45318</v>
      </c>
      <c r="I284" s="7"/>
      <c r="J284" s="3" t="str">
        <f>IF(Sales[[#This Row],[Purchase Amount]]&gt;0,"Yes","No")</f>
        <v>No</v>
      </c>
    </row>
    <row r="285" spans="1:10" x14ac:dyDescent="0.2">
      <c r="A285" s="3" t="s">
        <v>725</v>
      </c>
      <c r="B285" s="3" t="s">
        <v>555</v>
      </c>
      <c r="C285" s="3" t="s">
        <v>556</v>
      </c>
      <c r="D285" s="3" t="s">
        <v>557</v>
      </c>
      <c r="E285" s="3" t="s">
        <v>172</v>
      </c>
      <c r="F285" s="3" t="s">
        <v>303</v>
      </c>
      <c r="G285" s="3" t="s">
        <v>102</v>
      </c>
      <c r="H285" s="4">
        <v>45318</v>
      </c>
      <c r="I285" s="7"/>
      <c r="J285" s="3" t="str">
        <f>IF(Sales[[#This Row],[Purchase Amount]]&gt;0,"Yes","No")</f>
        <v>No</v>
      </c>
    </row>
    <row r="286" spans="1:10" x14ac:dyDescent="0.2">
      <c r="A286" s="3" t="s">
        <v>726</v>
      </c>
      <c r="B286" s="3" t="s">
        <v>390</v>
      </c>
      <c r="C286" s="3" t="s">
        <v>391</v>
      </c>
      <c r="D286" s="3" t="s">
        <v>392</v>
      </c>
      <c r="E286" s="3" t="s">
        <v>118</v>
      </c>
      <c r="F286" s="3" t="s">
        <v>178</v>
      </c>
      <c r="G286" s="3" t="s">
        <v>101</v>
      </c>
      <c r="H286" s="4">
        <v>45318</v>
      </c>
      <c r="I286" s="7">
        <v>785</v>
      </c>
      <c r="J286" s="3" t="str">
        <f>IF(Sales[[#This Row],[Purchase Amount]]&gt;0,"Yes","No")</f>
        <v>Yes</v>
      </c>
    </row>
    <row r="287" spans="1:10" x14ac:dyDescent="0.2">
      <c r="A287" s="3" t="s">
        <v>727</v>
      </c>
      <c r="B287" s="3" t="s">
        <v>169</v>
      </c>
      <c r="C287" s="3" t="s">
        <v>170</v>
      </c>
      <c r="D287" s="3" t="s">
        <v>171</v>
      </c>
      <c r="E287" s="3" t="s">
        <v>172</v>
      </c>
      <c r="F287" s="3" t="s">
        <v>320</v>
      </c>
      <c r="G287" s="3" t="s">
        <v>101</v>
      </c>
      <c r="H287" s="4">
        <v>45318</v>
      </c>
      <c r="I287" s="7">
        <v>690</v>
      </c>
      <c r="J287" s="3" t="str">
        <f>IF(Sales[[#This Row],[Purchase Amount]]&gt;0,"Yes","No")</f>
        <v>Yes</v>
      </c>
    </row>
    <row r="288" spans="1:10" x14ac:dyDescent="0.2">
      <c r="A288" s="3" t="s">
        <v>728</v>
      </c>
      <c r="B288" s="3" t="s">
        <v>442</v>
      </c>
      <c r="C288" s="3" t="s">
        <v>443</v>
      </c>
      <c r="D288" s="3" t="s">
        <v>444</v>
      </c>
      <c r="E288" s="3" t="s">
        <v>210</v>
      </c>
      <c r="F288" s="3" t="s">
        <v>239</v>
      </c>
      <c r="G288" s="3" t="s">
        <v>101</v>
      </c>
      <c r="H288" s="4">
        <v>45318</v>
      </c>
      <c r="I288" s="7">
        <v>585</v>
      </c>
      <c r="J288" s="3" t="str">
        <f>IF(Sales[[#This Row],[Purchase Amount]]&gt;0,"Yes","No")</f>
        <v>Yes</v>
      </c>
    </row>
    <row r="289" spans="1:10" x14ac:dyDescent="0.2">
      <c r="A289" s="3" t="s">
        <v>729</v>
      </c>
      <c r="B289" s="3" t="s">
        <v>667</v>
      </c>
      <c r="C289" s="3" t="s">
        <v>668</v>
      </c>
      <c r="D289" s="3" t="s">
        <v>669</v>
      </c>
      <c r="E289" s="3" t="s">
        <v>151</v>
      </c>
      <c r="F289" s="3" t="s">
        <v>146</v>
      </c>
      <c r="G289" s="3" t="s">
        <v>99</v>
      </c>
      <c r="H289" s="4">
        <v>45318</v>
      </c>
      <c r="I289" s="7">
        <v>375</v>
      </c>
      <c r="J289" s="3" t="str">
        <f>IF(Sales[[#This Row],[Purchase Amount]]&gt;0,"Yes","No")</f>
        <v>Yes</v>
      </c>
    </row>
    <row r="290" spans="1:10" x14ac:dyDescent="0.2">
      <c r="A290" s="3" t="s">
        <v>730</v>
      </c>
      <c r="B290" s="3" t="s">
        <v>377</v>
      </c>
      <c r="C290" s="3" t="s">
        <v>378</v>
      </c>
      <c r="D290" s="3" t="s">
        <v>379</v>
      </c>
      <c r="E290" s="3" t="s">
        <v>151</v>
      </c>
      <c r="F290" s="3" t="s">
        <v>193</v>
      </c>
      <c r="G290" s="3" t="s">
        <v>100</v>
      </c>
      <c r="H290" s="4">
        <v>45318</v>
      </c>
      <c r="I290" s="7">
        <v>730</v>
      </c>
      <c r="J290" s="3" t="str">
        <f>IF(Sales[[#This Row],[Purchase Amount]]&gt;0,"Yes","No")</f>
        <v>Yes</v>
      </c>
    </row>
    <row r="291" spans="1:10" x14ac:dyDescent="0.2">
      <c r="A291" s="3" t="s">
        <v>731</v>
      </c>
      <c r="B291" s="3" t="s">
        <v>402</v>
      </c>
      <c r="C291" s="3" t="s">
        <v>403</v>
      </c>
      <c r="D291" s="3" t="s">
        <v>404</v>
      </c>
      <c r="E291" s="3" t="s">
        <v>151</v>
      </c>
      <c r="F291" s="3" t="s">
        <v>583</v>
      </c>
      <c r="G291" s="3" t="s">
        <v>101</v>
      </c>
      <c r="H291" s="4">
        <v>45318</v>
      </c>
      <c r="I291" s="7">
        <v>690</v>
      </c>
      <c r="J291" s="3" t="str">
        <f>IF(Sales[[#This Row],[Purchase Amount]]&gt;0,"Yes","No")</f>
        <v>Yes</v>
      </c>
    </row>
    <row r="292" spans="1:10" x14ac:dyDescent="0.2">
      <c r="A292" s="3" t="s">
        <v>732</v>
      </c>
      <c r="B292" s="3" t="s">
        <v>499</v>
      </c>
      <c r="C292" s="3" t="s">
        <v>500</v>
      </c>
      <c r="D292" s="3" t="s">
        <v>501</v>
      </c>
      <c r="E292" s="3" t="s">
        <v>172</v>
      </c>
      <c r="F292" s="3" t="s">
        <v>325</v>
      </c>
      <c r="G292" s="3" t="s">
        <v>102</v>
      </c>
      <c r="H292" s="4">
        <v>45318</v>
      </c>
      <c r="I292" s="7">
        <v>420</v>
      </c>
      <c r="J292" s="3" t="str">
        <f>IF(Sales[[#This Row],[Purchase Amount]]&gt;0,"Yes","No")</f>
        <v>Yes</v>
      </c>
    </row>
    <row r="293" spans="1:10" x14ac:dyDescent="0.2">
      <c r="A293" s="3" t="s">
        <v>733</v>
      </c>
      <c r="B293" s="3" t="s">
        <v>312</v>
      </c>
      <c r="C293" s="3" t="s">
        <v>313</v>
      </c>
      <c r="D293" s="3" t="s">
        <v>314</v>
      </c>
      <c r="E293" s="3" t="s">
        <v>135</v>
      </c>
      <c r="F293" s="3" t="s">
        <v>205</v>
      </c>
      <c r="G293" s="3" t="s">
        <v>100</v>
      </c>
      <c r="H293" s="4">
        <v>45319</v>
      </c>
      <c r="I293" s="7"/>
      <c r="J293" s="3" t="str">
        <f>IF(Sales[[#This Row],[Purchase Amount]]&gt;0,"Yes","No")</f>
        <v>No</v>
      </c>
    </row>
    <row r="294" spans="1:10" x14ac:dyDescent="0.2">
      <c r="A294" s="3" t="s">
        <v>734</v>
      </c>
      <c r="B294" s="3" t="s">
        <v>735</v>
      </c>
      <c r="C294" s="3" t="s">
        <v>736</v>
      </c>
      <c r="D294" s="3" t="s">
        <v>737</v>
      </c>
      <c r="E294" s="3" t="s">
        <v>374</v>
      </c>
      <c r="F294" s="3" t="s">
        <v>146</v>
      </c>
      <c r="G294" s="3" t="s">
        <v>101</v>
      </c>
      <c r="H294" s="4">
        <v>45319</v>
      </c>
      <c r="I294" s="7"/>
      <c r="J294" s="3" t="str">
        <f>IF(Sales[[#This Row],[Purchase Amount]]&gt;0,"Yes","No")</f>
        <v>No</v>
      </c>
    </row>
    <row r="295" spans="1:10" x14ac:dyDescent="0.2">
      <c r="A295" s="3" t="s">
        <v>738</v>
      </c>
      <c r="B295" s="3" t="s">
        <v>427</v>
      </c>
      <c r="C295" s="3" t="s">
        <v>428</v>
      </c>
      <c r="D295" s="3" t="s">
        <v>429</v>
      </c>
      <c r="E295" s="3" t="s">
        <v>135</v>
      </c>
      <c r="F295" s="3" t="s">
        <v>146</v>
      </c>
      <c r="G295" s="3" t="s">
        <v>102</v>
      </c>
      <c r="H295" s="4">
        <v>45319</v>
      </c>
      <c r="I295" s="7">
        <v>370</v>
      </c>
      <c r="J295" s="3" t="str">
        <f>IF(Sales[[#This Row],[Purchase Amount]]&gt;0,"Yes","No")</f>
        <v>Yes</v>
      </c>
    </row>
    <row r="296" spans="1:10" x14ac:dyDescent="0.2">
      <c r="A296" s="3" t="s">
        <v>739</v>
      </c>
      <c r="B296" s="3" t="s">
        <v>561</v>
      </c>
      <c r="C296" s="3" t="s">
        <v>562</v>
      </c>
      <c r="D296" s="3" t="s">
        <v>563</v>
      </c>
      <c r="E296" s="3" t="s">
        <v>118</v>
      </c>
      <c r="F296" s="3" t="s">
        <v>451</v>
      </c>
      <c r="G296" s="3" t="s">
        <v>102</v>
      </c>
      <c r="H296" s="4">
        <v>45319</v>
      </c>
      <c r="I296" s="7">
        <v>565</v>
      </c>
      <c r="J296" s="3" t="str">
        <f>IF(Sales[[#This Row],[Purchase Amount]]&gt;0,"Yes","No")</f>
        <v>Yes</v>
      </c>
    </row>
    <row r="297" spans="1:10" x14ac:dyDescent="0.2">
      <c r="A297" s="3" t="s">
        <v>740</v>
      </c>
      <c r="B297" s="3" t="s">
        <v>467</v>
      </c>
      <c r="C297" s="3" t="s">
        <v>468</v>
      </c>
      <c r="D297" s="3" t="s">
        <v>469</v>
      </c>
      <c r="E297" s="3" t="s">
        <v>118</v>
      </c>
      <c r="F297" s="3" t="s">
        <v>245</v>
      </c>
      <c r="G297" s="3" t="s">
        <v>101</v>
      </c>
      <c r="H297" s="4">
        <v>45319</v>
      </c>
      <c r="I297" s="7">
        <v>140</v>
      </c>
      <c r="J297" s="3" t="str">
        <f>IF(Sales[[#This Row],[Purchase Amount]]&gt;0,"Yes","No")</f>
        <v>Yes</v>
      </c>
    </row>
    <row r="298" spans="1:10" x14ac:dyDescent="0.2">
      <c r="A298" s="3" t="s">
        <v>741</v>
      </c>
      <c r="B298" s="3" t="s">
        <v>164</v>
      </c>
      <c r="C298" s="3" t="s">
        <v>165</v>
      </c>
      <c r="D298" s="3" t="s">
        <v>166</v>
      </c>
      <c r="E298" s="3" t="s">
        <v>130</v>
      </c>
      <c r="F298" s="3" t="s">
        <v>211</v>
      </c>
      <c r="G298" s="3" t="s">
        <v>100</v>
      </c>
      <c r="H298" s="4">
        <v>45320</v>
      </c>
      <c r="I298" s="7"/>
      <c r="J298" s="3" t="str">
        <f>IF(Sales[[#This Row],[Purchase Amount]]&gt;0,"Yes","No")</f>
        <v>No</v>
      </c>
    </row>
    <row r="299" spans="1:10" x14ac:dyDescent="0.2">
      <c r="A299" s="3" t="s">
        <v>742</v>
      </c>
      <c r="B299" s="3" t="s">
        <v>743</v>
      </c>
      <c r="C299" s="3" t="s">
        <v>744</v>
      </c>
      <c r="D299" s="3" t="s">
        <v>745</v>
      </c>
      <c r="E299" s="3" t="s">
        <v>130</v>
      </c>
      <c r="F299" s="3" t="s">
        <v>664</v>
      </c>
      <c r="G299" s="3" t="s">
        <v>100</v>
      </c>
      <c r="H299" s="4">
        <v>45320</v>
      </c>
      <c r="I299" s="7"/>
      <c r="J299" s="3" t="str">
        <f>IF(Sales[[#This Row],[Purchase Amount]]&gt;0,"Yes","No")</f>
        <v>No</v>
      </c>
    </row>
    <row r="300" spans="1:10" x14ac:dyDescent="0.2">
      <c r="A300" s="3" t="s">
        <v>746</v>
      </c>
      <c r="B300" s="3" t="s">
        <v>241</v>
      </c>
      <c r="C300" s="3" t="s">
        <v>242</v>
      </c>
      <c r="D300" s="3" t="s">
        <v>243</v>
      </c>
      <c r="E300" s="3" t="s">
        <v>244</v>
      </c>
      <c r="F300" s="3" t="s">
        <v>250</v>
      </c>
      <c r="G300" s="3" t="s">
        <v>99</v>
      </c>
      <c r="H300" s="4">
        <v>45320</v>
      </c>
      <c r="I300" s="7"/>
      <c r="J300" s="3" t="str">
        <f>IF(Sales[[#This Row],[Purchase Amount]]&gt;0,"Yes","No")</f>
        <v>No</v>
      </c>
    </row>
    <row r="301" spans="1:10" x14ac:dyDescent="0.2">
      <c r="A301" s="3" t="s">
        <v>747</v>
      </c>
      <c r="B301" s="3" t="s">
        <v>712</v>
      </c>
      <c r="C301" s="3" t="s">
        <v>713</v>
      </c>
      <c r="D301" s="3" t="s">
        <v>714</v>
      </c>
      <c r="E301" s="3" t="s">
        <v>135</v>
      </c>
      <c r="F301" s="3" t="s">
        <v>748</v>
      </c>
      <c r="G301" s="3" t="s">
        <v>101</v>
      </c>
      <c r="H301" s="4">
        <v>45320</v>
      </c>
      <c r="I301" s="7">
        <v>405</v>
      </c>
      <c r="J301" s="3" t="str">
        <f>IF(Sales[[#This Row],[Purchase Amount]]&gt;0,"Yes","No")</f>
        <v>Yes</v>
      </c>
    </row>
    <row r="302" spans="1:10" x14ac:dyDescent="0.2">
      <c r="A302" s="3" t="s">
        <v>749</v>
      </c>
      <c r="B302" s="3" t="s">
        <v>169</v>
      </c>
      <c r="C302" s="3" t="s">
        <v>170</v>
      </c>
      <c r="D302" s="3" t="s">
        <v>171</v>
      </c>
      <c r="E302" s="3" t="s">
        <v>172</v>
      </c>
      <c r="F302" s="3" t="s">
        <v>280</v>
      </c>
      <c r="G302" s="3" t="s">
        <v>100</v>
      </c>
      <c r="H302" s="4">
        <v>45321</v>
      </c>
      <c r="I302" s="7">
        <v>80</v>
      </c>
      <c r="J302" s="3" t="str">
        <f>IF(Sales[[#This Row],[Purchase Amount]]&gt;0,"Yes","No")</f>
        <v>Yes</v>
      </c>
    </row>
    <row r="303" spans="1:10" x14ac:dyDescent="0.2">
      <c r="A303" s="3" t="s">
        <v>750</v>
      </c>
      <c r="B303" s="3" t="s">
        <v>227</v>
      </c>
      <c r="C303" s="3" t="s">
        <v>228</v>
      </c>
      <c r="D303" s="3" t="s">
        <v>229</v>
      </c>
      <c r="E303" s="3" t="s">
        <v>151</v>
      </c>
      <c r="F303" s="3" t="s">
        <v>173</v>
      </c>
      <c r="G303" s="3" t="s">
        <v>102</v>
      </c>
      <c r="H303" s="4">
        <v>45321</v>
      </c>
      <c r="I303" s="7">
        <v>1110</v>
      </c>
      <c r="J303" s="3" t="str">
        <f>IF(Sales[[#This Row],[Purchase Amount]]&gt;0,"Yes","No")</f>
        <v>Yes</v>
      </c>
    </row>
    <row r="304" spans="1:10" x14ac:dyDescent="0.2">
      <c r="A304" s="3" t="s">
        <v>751</v>
      </c>
      <c r="B304" s="3" t="s">
        <v>638</v>
      </c>
      <c r="C304" s="3" t="s">
        <v>639</v>
      </c>
      <c r="D304" s="3" t="s">
        <v>640</v>
      </c>
      <c r="E304" s="3" t="s">
        <v>135</v>
      </c>
      <c r="F304" s="3" t="s">
        <v>529</v>
      </c>
      <c r="G304" s="3" t="s">
        <v>102</v>
      </c>
      <c r="H304" s="4">
        <v>45321</v>
      </c>
      <c r="I304" s="7">
        <v>1655</v>
      </c>
      <c r="J304" s="3" t="str">
        <f>IF(Sales[[#This Row],[Purchase Amount]]&gt;0,"Yes","No")</f>
        <v>Yes</v>
      </c>
    </row>
    <row r="305" spans="1:10" x14ac:dyDescent="0.2">
      <c r="A305" s="3" t="s">
        <v>752</v>
      </c>
      <c r="B305" s="3" t="s">
        <v>467</v>
      </c>
      <c r="C305" s="3" t="s">
        <v>468</v>
      </c>
      <c r="D305" s="3" t="s">
        <v>469</v>
      </c>
      <c r="E305" s="3" t="s">
        <v>118</v>
      </c>
      <c r="F305" s="3" t="s">
        <v>536</v>
      </c>
      <c r="G305" s="3" t="s">
        <v>102</v>
      </c>
      <c r="H305" s="4">
        <v>45321</v>
      </c>
      <c r="I305" s="7">
        <v>505</v>
      </c>
      <c r="J305" s="3" t="str">
        <f>IF(Sales[[#This Row],[Purchase Amount]]&gt;0,"Yes","No")</f>
        <v>Yes</v>
      </c>
    </row>
    <row r="306" spans="1:10" x14ac:dyDescent="0.2">
      <c r="A306" s="3" t="s">
        <v>753</v>
      </c>
      <c r="B306" s="3" t="s">
        <v>638</v>
      </c>
      <c r="C306" s="3" t="s">
        <v>639</v>
      </c>
      <c r="D306" s="3" t="s">
        <v>640</v>
      </c>
      <c r="E306" s="3" t="s">
        <v>135</v>
      </c>
      <c r="F306" s="3" t="s">
        <v>341</v>
      </c>
      <c r="G306" s="3" t="s">
        <v>100</v>
      </c>
      <c r="H306" s="4">
        <v>45322</v>
      </c>
      <c r="I306" s="7"/>
      <c r="J306" s="3" t="str">
        <f>IF(Sales[[#This Row],[Purchase Amount]]&gt;0,"Yes","No")</f>
        <v>No</v>
      </c>
    </row>
    <row r="307" spans="1:10" x14ac:dyDescent="0.2">
      <c r="A307" s="3" t="s">
        <v>754</v>
      </c>
      <c r="B307" s="3" t="s">
        <v>755</v>
      </c>
      <c r="C307" s="3" t="s">
        <v>756</v>
      </c>
      <c r="D307" s="3" t="s">
        <v>757</v>
      </c>
      <c r="E307" s="3" t="s">
        <v>118</v>
      </c>
      <c r="F307" s="3" t="s">
        <v>650</v>
      </c>
      <c r="G307" s="3" t="s">
        <v>102</v>
      </c>
      <c r="H307" s="4">
        <v>45322</v>
      </c>
      <c r="I307" s="7">
        <v>830</v>
      </c>
      <c r="J307" s="3" t="str">
        <f>IF(Sales[[#This Row],[Purchase Amount]]&gt;0,"Yes","No")</f>
        <v>Yes</v>
      </c>
    </row>
    <row r="308" spans="1:10" x14ac:dyDescent="0.2">
      <c r="A308" s="3" t="s">
        <v>758</v>
      </c>
      <c r="B308" s="3" t="s">
        <v>227</v>
      </c>
      <c r="C308" s="3" t="s">
        <v>228</v>
      </c>
      <c r="D308" s="3" t="s">
        <v>229</v>
      </c>
      <c r="E308" s="3" t="s">
        <v>151</v>
      </c>
      <c r="F308" s="3" t="s">
        <v>136</v>
      </c>
      <c r="G308" s="3" t="s">
        <v>100</v>
      </c>
      <c r="H308" s="4">
        <v>45322</v>
      </c>
      <c r="I308" s="7">
        <v>710</v>
      </c>
      <c r="J308" s="3" t="str">
        <f>IF(Sales[[#This Row],[Purchase Amount]]&gt;0,"Yes","No")</f>
        <v>Yes</v>
      </c>
    </row>
    <row r="309" spans="1:10" x14ac:dyDescent="0.2">
      <c r="A309" s="3" t="s">
        <v>759</v>
      </c>
      <c r="B309" s="3" t="s">
        <v>349</v>
      </c>
      <c r="C309" s="3" t="s">
        <v>350</v>
      </c>
      <c r="D309" s="3" t="s">
        <v>351</v>
      </c>
      <c r="E309" s="3" t="s">
        <v>135</v>
      </c>
      <c r="F309" s="3" t="s">
        <v>250</v>
      </c>
      <c r="G309" s="3" t="s">
        <v>100</v>
      </c>
      <c r="H309" s="4">
        <v>45322</v>
      </c>
      <c r="I309" s="7">
        <v>795</v>
      </c>
      <c r="J309" s="3" t="str">
        <f>IF(Sales[[#This Row],[Purchase Amount]]&gt;0,"Yes","No")</f>
        <v>Yes</v>
      </c>
    </row>
    <row r="310" spans="1:10" x14ac:dyDescent="0.2">
      <c r="A310" s="3" t="s">
        <v>760</v>
      </c>
      <c r="B310" s="3" t="s">
        <v>349</v>
      </c>
      <c r="C310" s="3" t="s">
        <v>350</v>
      </c>
      <c r="D310" s="3" t="s">
        <v>351</v>
      </c>
      <c r="E310" s="3" t="s">
        <v>135</v>
      </c>
      <c r="F310" s="3" t="s">
        <v>193</v>
      </c>
      <c r="G310" s="3" t="s">
        <v>101</v>
      </c>
      <c r="H310" s="4">
        <v>45322</v>
      </c>
      <c r="I310" s="7">
        <v>875</v>
      </c>
      <c r="J310" s="3" t="str">
        <f>IF(Sales[[#This Row],[Purchase Amount]]&gt;0,"Yes","No")</f>
        <v>Yes</v>
      </c>
    </row>
    <row r="311" spans="1:10" x14ac:dyDescent="0.2">
      <c r="A311" s="3" t="s">
        <v>761</v>
      </c>
      <c r="B311" s="3" t="s">
        <v>252</v>
      </c>
      <c r="C311" s="3" t="s">
        <v>253</v>
      </c>
      <c r="D311" s="3" t="s">
        <v>254</v>
      </c>
      <c r="E311" s="3" t="s">
        <v>210</v>
      </c>
      <c r="F311" s="3" t="s">
        <v>356</v>
      </c>
      <c r="G311" s="3" t="s">
        <v>101</v>
      </c>
      <c r="H311" s="4">
        <v>45322</v>
      </c>
      <c r="I311" s="7">
        <v>150</v>
      </c>
      <c r="J311" s="3" t="str">
        <f>IF(Sales[[#This Row],[Purchase Amount]]&gt;0,"Yes","No")</f>
        <v>Yes</v>
      </c>
    </row>
    <row r="312" spans="1:10" x14ac:dyDescent="0.2">
      <c r="A312" s="3" t="s">
        <v>762</v>
      </c>
      <c r="B312" s="3" t="s">
        <v>343</v>
      </c>
      <c r="C312" s="3" t="s">
        <v>344</v>
      </c>
      <c r="D312" s="3" t="s">
        <v>345</v>
      </c>
      <c r="E312" s="3" t="s">
        <v>124</v>
      </c>
      <c r="F312" s="3" t="s">
        <v>406</v>
      </c>
      <c r="G312" s="3" t="s">
        <v>101</v>
      </c>
      <c r="H312" s="4">
        <v>45322</v>
      </c>
      <c r="I312" s="7">
        <v>815</v>
      </c>
      <c r="J312" s="3" t="str">
        <f>IF(Sales[[#This Row],[Purchase Amount]]&gt;0,"Yes","No")</f>
        <v>Yes</v>
      </c>
    </row>
    <row r="313" spans="1:10" x14ac:dyDescent="0.2">
      <c r="A313" s="3" t="s">
        <v>763</v>
      </c>
      <c r="B313" s="3" t="s">
        <v>755</v>
      </c>
      <c r="C313" s="3" t="s">
        <v>756</v>
      </c>
      <c r="D313" s="3" t="s">
        <v>757</v>
      </c>
      <c r="E313" s="3" t="s">
        <v>118</v>
      </c>
      <c r="F313" s="3" t="s">
        <v>141</v>
      </c>
      <c r="G313" s="3" t="s">
        <v>102</v>
      </c>
      <c r="H313" s="4">
        <v>45322</v>
      </c>
      <c r="I313" s="7">
        <v>30</v>
      </c>
      <c r="J313" s="3" t="str">
        <f>IF(Sales[[#This Row],[Purchase Amount]]&gt;0,"Yes","No")</f>
        <v>Yes</v>
      </c>
    </row>
    <row r="314" spans="1:10" x14ac:dyDescent="0.2">
      <c r="A314" s="3" t="s">
        <v>764</v>
      </c>
      <c r="B314" s="3" t="s">
        <v>322</v>
      </c>
      <c r="C314" s="3" t="s">
        <v>323</v>
      </c>
      <c r="D314" s="3" t="s">
        <v>324</v>
      </c>
      <c r="E314" s="3" t="s">
        <v>198</v>
      </c>
      <c r="F314" s="3" t="s">
        <v>157</v>
      </c>
      <c r="G314" s="3" t="s">
        <v>101</v>
      </c>
      <c r="H314" s="4">
        <v>45323</v>
      </c>
      <c r="I314" s="7"/>
      <c r="J314" s="3" t="str">
        <f>IF(Sales[[#This Row],[Purchase Amount]]&gt;0,"Yes","No")</f>
        <v>No</v>
      </c>
    </row>
    <row r="315" spans="1:10" x14ac:dyDescent="0.2">
      <c r="A315" s="3" t="s">
        <v>765</v>
      </c>
      <c r="B315" s="3" t="s">
        <v>234</v>
      </c>
      <c r="C315" s="3" t="s">
        <v>235</v>
      </c>
      <c r="D315" s="3" t="s">
        <v>236</v>
      </c>
      <c r="E315" s="3" t="s">
        <v>118</v>
      </c>
      <c r="F315" s="3" t="s">
        <v>250</v>
      </c>
      <c r="G315" s="3" t="s">
        <v>100</v>
      </c>
      <c r="H315" s="4">
        <v>45323</v>
      </c>
      <c r="I315" s="7">
        <v>500</v>
      </c>
      <c r="J315" s="3" t="str">
        <f>IF(Sales[[#This Row],[Purchase Amount]]&gt;0,"Yes","No")</f>
        <v>Yes</v>
      </c>
    </row>
    <row r="316" spans="1:10" x14ac:dyDescent="0.2">
      <c r="A316" s="3" t="s">
        <v>766</v>
      </c>
      <c r="B316" s="3" t="s">
        <v>638</v>
      </c>
      <c r="C316" s="3" t="s">
        <v>639</v>
      </c>
      <c r="D316" s="3" t="s">
        <v>640</v>
      </c>
      <c r="E316" s="3" t="s">
        <v>135</v>
      </c>
      <c r="F316" s="3" t="s">
        <v>294</v>
      </c>
      <c r="G316" s="3" t="s">
        <v>101</v>
      </c>
      <c r="H316" s="4">
        <v>45323</v>
      </c>
      <c r="I316" s="7">
        <v>110</v>
      </c>
      <c r="J316" s="3" t="str">
        <f>IF(Sales[[#This Row],[Purchase Amount]]&gt;0,"Yes","No")</f>
        <v>Yes</v>
      </c>
    </row>
    <row r="317" spans="1:10" x14ac:dyDescent="0.2">
      <c r="A317" s="3" t="s">
        <v>767</v>
      </c>
      <c r="B317" s="3" t="s">
        <v>257</v>
      </c>
      <c r="C317" s="3" t="s">
        <v>258</v>
      </c>
      <c r="D317" s="3" t="s">
        <v>259</v>
      </c>
      <c r="E317" s="3" t="s">
        <v>244</v>
      </c>
      <c r="F317" s="3" t="s">
        <v>549</v>
      </c>
      <c r="G317" s="3" t="s">
        <v>101</v>
      </c>
      <c r="H317" s="4">
        <v>45323</v>
      </c>
      <c r="I317" s="7">
        <v>1145</v>
      </c>
      <c r="J317" s="3" t="str">
        <f>IF(Sales[[#This Row],[Purchase Amount]]&gt;0,"Yes","No")</f>
        <v>Yes</v>
      </c>
    </row>
    <row r="318" spans="1:10" x14ac:dyDescent="0.2">
      <c r="A318" s="3" t="s">
        <v>768</v>
      </c>
      <c r="B318" s="3" t="s">
        <v>561</v>
      </c>
      <c r="C318" s="3" t="s">
        <v>562</v>
      </c>
      <c r="D318" s="3" t="s">
        <v>563</v>
      </c>
      <c r="E318" s="3" t="s">
        <v>118</v>
      </c>
      <c r="F318" s="3" t="s">
        <v>341</v>
      </c>
      <c r="G318" s="3" t="s">
        <v>101</v>
      </c>
      <c r="H318" s="4">
        <v>45323</v>
      </c>
      <c r="I318" s="7">
        <v>15</v>
      </c>
      <c r="J318" s="3" t="str">
        <f>IF(Sales[[#This Row],[Purchase Amount]]&gt;0,"Yes","No")</f>
        <v>Yes</v>
      </c>
    </row>
    <row r="319" spans="1:10" x14ac:dyDescent="0.2">
      <c r="A319" s="3" t="s">
        <v>769</v>
      </c>
      <c r="B319" s="3" t="s">
        <v>213</v>
      </c>
      <c r="C319" s="3" t="s">
        <v>214</v>
      </c>
      <c r="D319" s="3" t="s">
        <v>215</v>
      </c>
      <c r="E319" s="3" t="s">
        <v>124</v>
      </c>
      <c r="F319" s="3" t="s">
        <v>262</v>
      </c>
      <c r="G319" s="3" t="s">
        <v>101</v>
      </c>
      <c r="H319" s="4">
        <v>45324</v>
      </c>
      <c r="I319" s="7"/>
      <c r="J319" s="3" t="str">
        <f>IF(Sales[[#This Row],[Purchase Amount]]&gt;0,"Yes","No")</f>
        <v>No</v>
      </c>
    </row>
    <row r="320" spans="1:10" x14ac:dyDescent="0.2">
      <c r="A320" s="3" t="s">
        <v>770</v>
      </c>
      <c r="B320" s="3" t="s">
        <v>316</v>
      </c>
      <c r="C320" s="3" t="s">
        <v>317</v>
      </c>
      <c r="D320" s="3" t="s">
        <v>318</v>
      </c>
      <c r="E320" s="3" t="s">
        <v>319</v>
      </c>
      <c r="F320" s="3" t="s">
        <v>650</v>
      </c>
      <c r="G320" s="3" t="s">
        <v>102</v>
      </c>
      <c r="H320" s="4">
        <v>45324</v>
      </c>
      <c r="I320" s="7">
        <v>25</v>
      </c>
      <c r="J320" s="3" t="str">
        <f>IF(Sales[[#This Row],[Purchase Amount]]&gt;0,"Yes","No")</f>
        <v>Yes</v>
      </c>
    </row>
    <row r="321" spans="1:10" x14ac:dyDescent="0.2">
      <c r="A321" s="3" t="s">
        <v>771</v>
      </c>
      <c r="B321" s="3" t="s">
        <v>287</v>
      </c>
      <c r="C321" s="3" t="s">
        <v>288</v>
      </c>
      <c r="D321" s="3" t="s">
        <v>289</v>
      </c>
      <c r="E321" s="3" t="s">
        <v>151</v>
      </c>
      <c r="F321" s="3" t="s">
        <v>388</v>
      </c>
      <c r="G321" s="3" t="s">
        <v>101</v>
      </c>
      <c r="H321" s="4">
        <v>45324</v>
      </c>
      <c r="I321" s="7">
        <v>1420</v>
      </c>
      <c r="J321" s="3" t="str">
        <f>IF(Sales[[#This Row],[Purchase Amount]]&gt;0,"Yes","No")</f>
        <v>Yes</v>
      </c>
    </row>
    <row r="322" spans="1:10" x14ac:dyDescent="0.2">
      <c r="A322" s="3" t="s">
        <v>772</v>
      </c>
      <c r="B322" s="3" t="s">
        <v>442</v>
      </c>
      <c r="C322" s="3" t="s">
        <v>443</v>
      </c>
      <c r="D322" s="3" t="s">
        <v>444</v>
      </c>
      <c r="E322" s="3" t="s">
        <v>210</v>
      </c>
      <c r="F322" s="3" t="s">
        <v>199</v>
      </c>
      <c r="G322" s="3" t="s">
        <v>102</v>
      </c>
      <c r="H322" s="4">
        <v>45324</v>
      </c>
      <c r="I322" s="7">
        <v>570</v>
      </c>
      <c r="J322" s="3" t="str">
        <f>IF(Sales[[#This Row],[Purchase Amount]]&gt;0,"Yes","No")</f>
        <v>Yes</v>
      </c>
    </row>
    <row r="323" spans="1:10" x14ac:dyDescent="0.2">
      <c r="A323" s="3" t="s">
        <v>773</v>
      </c>
      <c r="B323" s="3" t="s">
        <v>127</v>
      </c>
      <c r="C323" s="3" t="s">
        <v>128</v>
      </c>
      <c r="D323" s="3" t="s">
        <v>129</v>
      </c>
      <c r="E323" s="3" t="s">
        <v>130</v>
      </c>
      <c r="F323" s="3" t="s">
        <v>411</v>
      </c>
      <c r="G323" s="3" t="s">
        <v>100</v>
      </c>
      <c r="H323" s="4">
        <v>45325</v>
      </c>
      <c r="I323" s="7">
        <v>515</v>
      </c>
      <c r="J323" s="3" t="str">
        <f>IF(Sales[[#This Row],[Purchase Amount]]&gt;0,"Yes","No")</f>
        <v>Yes</v>
      </c>
    </row>
    <row r="324" spans="1:10" x14ac:dyDescent="0.2">
      <c r="A324" s="3" t="s">
        <v>774</v>
      </c>
      <c r="B324" s="3" t="s">
        <v>127</v>
      </c>
      <c r="C324" s="3" t="s">
        <v>128</v>
      </c>
      <c r="D324" s="3" t="s">
        <v>129</v>
      </c>
      <c r="E324" s="3" t="s">
        <v>130</v>
      </c>
      <c r="F324" s="3" t="s">
        <v>583</v>
      </c>
      <c r="G324" s="3" t="s">
        <v>100</v>
      </c>
      <c r="H324" s="4">
        <v>45325</v>
      </c>
      <c r="I324" s="7">
        <v>130</v>
      </c>
      <c r="J324" s="3" t="str">
        <f>IF(Sales[[#This Row],[Purchase Amount]]&gt;0,"Yes","No")</f>
        <v>Yes</v>
      </c>
    </row>
    <row r="325" spans="1:10" x14ac:dyDescent="0.2">
      <c r="A325" s="3" t="s">
        <v>775</v>
      </c>
      <c r="B325" s="3" t="s">
        <v>478</v>
      </c>
      <c r="C325" s="3" t="s">
        <v>479</v>
      </c>
      <c r="D325" s="3" t="s">
        <v>480</v>
      </c>
      <c r="E325" s="3" t="s">
        <v>124</v>
      </c>
      <c r="F325" s="3" t="s">
        <v>173</v>
      </c>
      <c r="G325" s="3" t="s">
        <v>101</v>
      </c>
      <c r="H325" s="4">
        <v>45325</v>
      </c>
      <c r="I325" s="7">
        <v>1315</v>
      </c>
      <c r="J325" s="3" t="str">
        <f>IF(Sales[[#This Row],[Purchase Amount]]&gt;0,"Yes","No")</f>
        <v>Yes</v>
      </c>
    </row>
    <row r="326" spans="1:10" x14ac:dyDescent="0.2">
      <c r="A326" s="3" t="s">
        <v>776</v>
      </c>
      <c r="B326" s="3" t="s">
        <v>327</v>
      </c>
      <c r="C326" s="3" t="s">
        <v>328</v>
      </c>
      <c r="D326" s="3" t="s">
        <v>329</v>
      </c>
      <c r="E326" s="3" t="s">
        <v>135</v>
      </c>
      <c r="F326" s="3" t="s">
        <v>388</v>
      </c>
      <c r="G326" s="3" t="s">
        <v>102</v>
      </c>
      <c r="H326" s="4">
        <v>45325</v>
      </c>
      <c r="I326" s="7">
        <v>250</v>
      </c>
      <c r="J326" s="3" t="str">
        <f>IF(Sales[[#This Row],[Purchase Amount]]&gt;0,"Yes","No")</f>
        <v>Yes</v>
      </c>
    </row>
    <row r="327" spans="1:10" x14ac:dyDescent="0.2">
      <c r="A327" s="3" t="s">
        <v>777</v>
      </c>
      <c r="B327" s="3" t="s">
        <v>778</v>
      </c>
      <c r="C327" s="3" t="s">
        <v>779</v>
      </c>
      <c r="D327" s="3" t="s">
        <v>780</v>
      </c>
      <c r="E327" s="3" t="s">
        <v>172</v>
      </c>
      <c r="F327" s="3" t="s">
        <v>553</v>
      </c>
      <c r="G327" s="3" t="s">
        <v>102</v>
      </c>
      <c r="H327" s="4">
        <v>45325</v>
      </c>
      <c r="I327" s="7">
        <v>490</v>
      </c>
      <c r="J327" s="3" t="str">
        <f>IF(Sales[[#This Row],[Purchase Amount]]&gt;0,"Yes","No")</f>
        <v>Yes</v>
      </c>
    </row>
    <row r="328" spans="1:10" x14ac:dyDescent="0.2">
      <c r="A328" s="3" t="s">
        <v>781</v>
      </c>
      <c r="B328" s="3" t="s">
        <v>598</v>
      </c>
      <c r="C328" s="3" t="s">
        <v>599</v>
      </c>
      <c r="D328" s="3" t="s">
        <v>600</v>
      </c>
      <c r="E328" s="3" t="s">
        <v>244</v>
      </c>
      <c r="F328" s="3" t="s">
        <v>152</v>
      </c>
      <c r="G328" s="3" t="s">
        <v>102</v>
      </c>
      <c r="H328" s="4">
        <v>45326</v>
      </c>
      <c r="I328" s="7"/>
      <c r="J328" s="3" t="str">
        <f>IF(Sales[[#This Row],[Purchase Amount]]&gt;0,"Yes","No")</f>
        <v>No</v>
      </c>
    </row>
    <row r="329" spans="1:10" x14ac:dyDescent="0.2">
      <c r="A329" s="3" t="s">
        <v>782</v>
      </c>
      <c r="B329" s="3" t="s">
        <v>542</v>
      </c>
      <c r="C329" s="3" t="s">
        <v>543</v>
      </c>
      <c r="D329" s="3" t="s">
        <v>544</v>
      </c>
      <c r="E329" s="3" t="s">
        <v>374</v>
      </c>
      <c r="F329" s="3" t="s">
        <v>205</v>
      </c>
      <c r="G329" s="3" t="s">
        <v>101</v>
      </c>
      <c r="H329" s="4">
        <v>45326</v>
      </c>
      <c r="I329" s="7"/>
      <c r="J329" s="3" t="str">
        <f>IF(Sales[[#This Row],[Purchase Amount]]&gt;0,"Yes","No")</f>
        <v>No</v>
      </c>
    </row>
    <row r="330" spans="1:10" x14ac:dyDescent="0.2">
      <c r="A330" s="3" t="s">
        <v>783</v>
      </c>
      <c r="B330" s="3" t="s">
        <v>442</v>
      </c>
      <c r="C330" s="3" t="s">
        <v>443</v>
      </c>
      <c r="D330" s="3" t="s">
        <v>444</v>
      </c>
      <c r="E330" s="3" t="s">
        <v>210</v>
      </c>
      <c r="F330" s="3" t="s">
        <v>162</v>
      </c>
      <c r="G330" s="3" t="s">
        <v>101</v>
      </c>
      <c r="H330" s="4">
        <v>45326</v>
      </c>
      <c r="I330" s="7"/>
      <c r="J330" s="3" t="str">
        <f>IF(Sales[[#This Row],[Purchase Amount]]&gt;0,"Yes","No")</f>
        <v>No</v>
      </c>
    </row>
    <row r="331" spans="1:10" x14ac:dyDescent="0.2">
      <c r="A331" s="3" t="s">
        <v>784</v>
      </c>
      <c r="B331" s="3" t="s">
        <v>195</v>
      </c>
      <c r="C331" s="3" t="s">
        <v>196</v>
      </c>
      <c r="D331" s="3" t="s">
        <v>197</v>
      </c>
      <c r="E331" s="3" t="s">
        <v>198</v>
      </c>
      <c r="F331" s="3" t="s">
        <v>262</v>
      </c>
      <c r="G331" s="3" t="s">
        <v>102</v>
      </c>
      <c r="H331" s="4">
        <v>45326</v>
      </c>
      <c r="I331" s="7">
        <v>345</v>
      </c>
      <c r="J331" s="3" t="str">
        <f>IF(Sales[[#This Row],[Purchase Amount]]&gt;0,"Yes","No")</f>
        <v>Yes</v>
      </c>
    </row>
    <row r="332" spans="1:10" x14ac:dyDescent="0.2">
      <c r="A332" s="3" t="s">
        <v>785</v>
      </c>
      <c r="B332" s="3" t="s">
        <v>148</v>
      </c>
      <c r="C332" s="3" t="s">
        <v>149</v>
      </c>
      <c r="D332" s="3" t="s">
        <v>150</v>
      </c>
      <c r="E332" s="3" t="s">
        <v>151</v>
      </c>
      <c r="F332" s="3" t="s">
        <v>388</v>
      </c>
      <c r="G332" s="3" t="s">
        <v>102</v>
      </c>
      <c r="H332" s="4">
        <v>45326</v>
      </c>
      <c r="I332" s="7">
        <v>80</v>
      </c>
      <c r="J332" s="3" t="str">
        <f>IF(Sales[[#This Row],[Purchase Amount]]&gt;0,"Yes","No")</f>
        <v>Yes</v>
      </c>
    </row>
    <row r="333" spans="1:10" x14ac:dyDescent="0.2">
      <c r="A333" s="3" t="s">
        <v>786</v>
      </c>
      <c r="B333" s="3" t="s">
        <v>519</v>
      </c>
      <c r="C333" s="3" t="s">
        <v>520</v>
      </c>
      <c r="D333" s="3" t="s">
        <v>521</v>
      </c>
      <c r="E333" s="3" t="s">
        <v>118</v>
      </c>
      <c r="F333" s="3" t="s">
        <v>553</v>
      </c>
      <c r="G333" s="3" t="s">
        <v>101</v>
      </c>
      <c r="H333" s="4">
        <v>45326</v>
      </c>
      <c r="I333" s="7">
        <v>745</v>
      </c>
      <c r="J333" s="3" t="str">
        <f>IF(Sales[[#This Row],[Purchase Amount]]&gt;0,"Yes","No")</f>
        <v>Yes</v>
      </c>
    </row>
    <row r="334" spans="1:10" x14ac:dyDescent="0.2">
      <c r="A334" s="3" t="s">
        <v>787</v>
      </c>
      <c r="B334" s="3" t="s">
        <v>531</v>
      </c>
      <c r="C334" s="3" t="s">
        <v>532</v>
      </c>
      <c r="D334" s="3" t="s">
        <v>533</v>
      </c>
      <c r="E334" s="3" t="s">
        <v>124</v>
      </c>
      <c r="F334" s="3" t="s">
        <v>167</v>
      </c>
      <c r="G334" s="3" t="s">
        <v>101</v>
      </c>
      <c r="H334" s="4">
        <v>45327</v>
      </c>
      <c r="I334" s="7"/>
      <c r="J334" s="3" t="str">
        <f>IF(Sales[[#This Row],[Purchase Amount]]&gt;0,"Yes","No")</f>
        <v>No</v>
      </c>
    </row>
    <row r="335" spans="1:10" x14ac:dyDescent="0.2">
      <c r="A335" s="3" t="s">
        <v>788</v>
      </c>
      <c r="B335" s="3" t="s">
        <v>143</v>
      </c>
      <c r="C335" s="3" t="s">
        <v>144</v>
      </c>
      <c r="D335" s="3" t="s">
        <v>145</v>
      </c>
      <c r="E335" s="3" t="s">
        <v>130</v>
      </c>
      <c r="F335" s="3" t="s">
        <v>748</v>
      </c>
      <c r="G335" s="3" t="s">
        <v>102</v>
      </c>
      <c r="H335" s="4">
        <v>45327</v>
      </c>
      <c r="I335" s="7"/>
      <c r="J335" s="3" t="str">
        <f>IF(Sales[[#This Row],[Purchase Amount]]&gt;0,"Yes","No")</f>
        <v>No</v>
      </c>
    </row>
    <row r="336" spans="1:10" x14ac:dyDescent="0.2">
      <c r="A336" s="3" t="s">
        <v>789</v>
      </c>
      <c r="B336" s="3" t="s">
        <v>180</v>
      </c>
      <c r="C336" s="3" t="s">
        <v>181</v>
      </c>
      <c r="D336" s="3" t="s">
        <v>182</v>
      </c>
      <c r="E336" s="3" t="s">
        <v>124</v>
      </c>
      <c r="F336" s="3" t="s">
        <v>173</v>
      </c>
      <c r="G336" s="3" t="s">
        <v>102</v>
      </c>
      <c r="H336" s="4">
        <v>45327</v>
      </c>
      <c r="I336" s="7">
        <v>370</v>
      </c>
      <c r="J336" s="3" t="str">
        <f>IF(Sales[[#This Row],[Purchase Amount]]&gt;0,"Yes","No")</f>
        <v>Yes</v>
      </c>
    </row>
    <row r="337" spans="1:10" x14ac:dyDescent="0.2">
      <c r="A337" s="3" t="s">
        <v>790</v>
      </c>
      <c r="B337" s="3" t="s">
        <v>755</v>
      </c>
      <c r="C337" s="3" t="s">
        <v>756</v>
      </c>
      <c r="D337" s="3" t="s">
        <v>757</v>
      </c>
      <c r="E337" s="3" t="s">
        <v>118</v>
      </c>
      <c r="F337" s="3" t="s">
        <v>294</v>
      </c>
      <c r="G337" s="3" t="s">
        <v>100</v>
      </c>
      <c r="H337" s="4">
        <v>45327</v>
      </c>
      <c r="I337" s="7">
        <v>775</v>
      </c>
      <c r="J337" s="3" t="str">
        <f>IF(Sales[[#This Row],[Purchase Amount]]&gt;0,"Yes","No")</f>
        <v>Yes</v>
      </c>
    </row>
    <row r="338" spans="1:10" x14ac:dyDescent="0.2">
      <c r="A338" s="3" t="s">
        <v>791</v>
      </c>
      <c r="B338" s="3" t="s">
        <v>234</v>
      </c>
      <c r="C338" s="3" t="s">
        <v>235</v>
      </c>
      <c r="D338" s="3" t="s">
        <v>236</v>
      </c>
      <c r="E338" s="3" t="s">
        <v>118</v>
      </c>
      <c r="F338" s="3" t="s">
        <v>250</v>
      </c>
      <c r="G338" s="3" t="s">
        <v>102</v>
      </c>
      <c r="H338" s="4">
        <v>45329</v>
      </c>
      <c r="I338" s="7"/>
      <c r="J338" s="3" t="str">
        <f>IF(Sales[[#This Row],[Purchase Amount]]&gt;0,"Yes","No")</f>
        <v>No</v>
      </c>
    </row>
    <row r="339" spans="1:10" x14ac:dyDescent="0.2">
      <c r="A339" s="3" t="s">
        <v>792</v>
      </c>
      <c r="B339" s="3" t="s">
        <v>277</v>
      </c>
      <c r="C339" s="3" t="s">
        <v>278</v>
      </c>
      <c r="D339" s="3" t="s">
        <v>279</v>
      </c>
      <c r="E339" s="3" t="s">
        <v>198</v>
      </c>
      <c r="F339" s="3" t="s">
        <v>388</v>
      </c>
      <c r="G339" s="3" t="s">
        <v>101</v>
      </c>
      <c r="H339" s="4">
        <v>45329</v>
      </c>
      <c r="I339" s="7"/>
      <c r="J339" s="3" t="str">
        <f>IF(Sales[[#This Row],[Purchase Amount]]&gt;0,"Yes","No")</f>
        <v>No</v>
      </c>
    </row>
    <row r="340" spans="1:10" x14ac:dyDescent="0.2">
      <c r="A340" s="3" t="s">
        <v>793</v>
      </c>
      <c r="B340" s="3" t="s">
        <v>377</v>
      </c>
      <c r="C340" s="3" t="s">
        <v>378</v>
      </c>
      <c r="D340" s="3" t="s">
        <v>379</v>
      </c>
      <c r="E340" s="3" t="s">
        <v>151</v>
      </c>
      <c r="F340" s="3" t="s">
        <v>205</v>
      </c>
      <c r="G340" s="3" t="s">
        <v>102</v>
      </c>
      <c r="H340" s="4">
        <v>45329</v>
      </c>
      <c r="I340" s="7">
        <v>380</v>
      </c>
      <c r="J340" s="3" t="str">
        <f>IF(Sales[[#This Row],[Purchase Amount]]&gt;0,"Yes","No")</f>
        <v>Yes</v>
      </c>
    </row>
    <row r="341" spans="1:10" x14ac:dyDescent="0.2">
      <c r="A341" s="3" t="s">
        <v>794</v>
      </c>
      <c r="B341" s="3" t="s">
        <v>442</v>
      </c>
      <c r="C341" s="3" t="s">
        <v>443</v>
      </c>
      <c r="D341" s="3" t="s">
        <v>444</v>
      </c>
      <c r="E341" s="3" t="s">
        <v>210</v>
      </c>
      <c r="F341" s="3" t="s">
        <v>162</v>
      </c>
      <c r="G341" s="3" t="s">
        <v>100</v>
      </c>
      <c r="H341" s="4">
        <v>45329</v>
      </c>
      <c r="I341" s="7">
        <v>285</v>
      </c>
      <c r="J341" s="3" t="str">
        <f>IF(Sales[[#This Row],[Purchase Amount]]&gt;0,"Yes","No")</f>
        <v>Yes</v>
      </c>
    </row>
    <row r="342" spans="1:10" x14ac:dyDescent="0.2">
      <c r="A342" s="3" t="s">
        <v>795</v>
      </c>
      <c r="B342" s="3" t="s">
        <v>296</v>
      </c>
      <c r="C342" s="3" t="s">
        <v>297</v>
      </c>
      <c r="D342" s="3" t="s">
        <v>298</v>
      </c>
      <c r="E342" s="3" t="s">
        <v>135</v>
      </c>
      <c r="F342" s="3" t="s">
        <v>173</v>
      </c>
      <c r="G342" s="3" t="s">
        <v>102</v>
      </c>
      <c r="H342" s="4">
        <v>45330</v>
      </c>
      <c r="I342" s="7"/>
      <c r="J342" s="3" t="str">
        <f>IF(Sales[[#This Row],[Purchase Amount]]&gt;0,"Yes","No")</f>
        <v>No</v>
      </c>
    </row>
    <row r="343" spans="1:10" x14ac:dyDescent="0.2">
      <c r="A343" s="3" t="s">
        <v>796</v>
      </c>
      <c r="B343" s="3" t="s">
        <v>442</v>
      </c>
      <c r="C343" s="3" t="s">
        <v>443</v>
      </c>
      <c r="D343" s="3" t="s">
        <v>444</v>
      </c>
      <c r="E343" s="3" t="s">
        <v>210</v>
      </c>
      <c r="F343" s="3" t="s">
        <v>309</v>
      </c>
      <c r="G343" s="3" t="s">
        <v>101</v>
      </c>
      <c r="H343" s="4">
        <v>45330</v>
      </c>
      <c r="I343" s="7">
        <v>765</v>
      </c>
      <c r="J343" s="3" t="str">
        <f>IF(Sales[[#This Row],[Purchase Amount]]&gt;0,"Yes","No")</f>
        <v>Yes</v>
      </c>
    </row>
    <row r="344" spans="1:10" x14ac:dyDescent="0.2">
      <c r="A344" s="3" t="s">
        <v>797</v>
      </c>
      <c r="B344" s="3" t="s">
        <v>332</v>
      </c>
      <c r="C344" s="3" t="s">
        <v>333</v>
      </c>
      <c r="D344" s="3" t="s">
        <v>334</v>
      </c>
      <c r="E344" s="3" t="s">
        <v>335</v>
      </c>
      <c r="F344" s="3" t="s">
        <v>309</v>
      </c>
      <c r="G344" s="3" t="s">
        <v>101</v>
      </c>
      <c r="H344" s="4">
        <v>45330</v>
      </c>
      <c r="I344" s="7">
        <v>200</v>
      </c>
      <c r="J344" s="3" t="str">
        <f>IF(Sales[[#This Row],[Purchase Amount]]&gt;0,"Yes","No")</f>
        <v>Yes</v>
      </c>
    </row>
    <row r="345" spans="1:10" x14ac:dyDescent="0.2">
      <c r="A345" s="3" t="s">
        <v>798</v>
      </c>
      <c r="B345" s="3" t="s">
        <v>322</v>
      </c>
      <c r="C345" s="3" t="s">
        <v>323</v>
      </c>
      <c r="D345" s="3" t="s">
        <v>324</v>
      </c>
      <c r="E345" s="3" t="s">
        <v>198</v>
      </c>
      <c r="F345" s="3" t="s">
        <v>136</v>
      </c>
      <c r="G345" s="3" t="s">
        <v>102</v>
      </c>
      <c r="H345" s="4">
        <v>45330</v>
      </c>
      <c r="I345" s="7">
        <v>785</v>
      </c>
      <c r="J345" s="3" t="str">
        <f>IF(Sales[[#This Row],[Purchase Amount]]&gt;0,"Yes","No")</f>
        <v>Yes</v>
      </c>
    </row>
    <row r="346" spans="1:10" x14ac:dyDescent="0.2">
      <c r="A346" s="3" t="s">
        <v>799</v>
      </c>
      <c r="B346" s="3" t="s">
        <v>488</v>
      </c>
      <c r="C346" s="3" t="s">
        <v>489</v>
      </c>
      <c r="D346" s="3" t="s">
        <v>490</v>
      </c>
      <c r="E346" s="3" t="s">
        <v>210</v>
      </c>
      <c r="F346" s="3" t="s">
        <v>465</v>
      </c>
      <c r="G346" s="3" t="s">
        <v>102</v>
      </c>
      <c r="H346" s="4">
        <v>45330</v>
      </c>
      <c r="I346" s="7">
        <v>955</v>
      </c>
      <c r="J346" s="3" t="str">
        <f>IF(Sales[[#This Row],[Purchase Amount]]&gt;0,"Yes","No")</f>
        <v>Yes</v>
      </c>
    </row>
    <row r="347" spans="1:10" x14ac:dyDescent="0.2">
      <c r="A347" s="3" t="s">
        <v>800</v>
      </c>
      <c r="B347" s="3" t="s">
        <v>478</v>
      </c>
      <c r="C347" s="3" t="s">
        <v>479</v>
      </c>
      <c r="D347" s="3" t="s">
        <v>480</v>
      </c>
      <c r="E347" s="3" t="s">
        <v>124</v>
      </c>
      <c r="F347" s="3" t="s">
        <v>411</v>
      </c>
      <c r="G347" s="3" t="s">
        <v>101</v>
      </c>
      <c r="H347" s="4">
        <v>45330</v>
      </c>
      <c r="I347" s="7">
        <v>1315</v>
      </c>
      <c r="J347" s="3" t="str">
        <f>IF(Sales[[#This Row],[Purchase Amount]]&gt;0,"Yes","No")</f>
        <v>Yes</v>
      </c>
    </row>
    <row r="348" spans="1:10" x14ac:dyDescent="0.2">
      <c r="A348" s="3" t="s">
        <v>801</v>
      </c>
      <c r="B348" s="3" t="s">
        <v>247</v>
      </c>
      <c r="C348" s="3" t="s">
        <v>248</v>
      </c>
      <c r="D348" s="3" t="s">
        <v>249</v>
      </c>
      <c r="E348" s="3" t="s">
        <v>118</v>
      </c>
      <c r="F348" s="3" t="s">
        <v>173</v>
      </c>
      <c r="G348" s="3" t="s">
        <v>100</v>
      </c>
      <c r="H348" s="4">
        <v>45331</v>
      </c>
      <c r="I348" s="7"/>
      <c r="J348" s="3" t="str">
        <f>IF(Sales[[#This Row],[Purchase Amount]]&gt;0,"Yes","No")</f>
        <v>No</v>
      </c>
    </row>
    <row r="349" spans="1:10" x14ac:dyDescent="0.2">
      <c r="A349" s="3" t="s">
        <v>802</v>
      </c>
      <c r="B349" s="3" t="s">
        <v>390</v>
      </c>
      <c r="C349" s="3" t="s">
        <v>391</v>
      </c>
      <c r="D349" s="3" t="s">
        <v>392</v>
      </c>
      <c r="E349" s="3" t="s">
        <v>118</v>
      </c>
      <c r="F349" s="3" t="s">
        <v>250</v>
      </c>
      <c r="G349" s="3" t="s">
        <v>102</v>
      </c>
      <c r="H349" s="4">
        <v>45331</v>
      </c>
      <c r="I349" s="7">
        <v>590</v>
      </c>
      <c r="J349" s="3" t="str">
        <f>IF(Sales[[#This Row],[Purchase Amount]]&gt;0,"Yes","No")</f>
        <v>Yes</v>
      </c>
    </row>
    <row r="350" spans="1:10" x14ac:dyDescent="0.2">
      <c r="A350" s="3" t="s">
        <v>803</v>
      </c>
      <c r="B350" s="3" t="s">
        <v>234</v>
      </c>
      <c r="C350" s="3" t="s">
        <v>235</v>
      </c>
      <c r="D350" s="3" t="s">
        <v>236</v>
      </c>
      <c r="E350" s="3" t="s">
        <v>118</v>
      </c>
      <c r="F350" s="3" t="s">
        <v>406</v>
      </c>
      <c r="G350" s="3" t="s">
        <v>100</v>
      </c>
      <c r="H350" s="4">
        <v>45331</v>
      </c>
      <c r="I350" s="7">
        <v>1080</v>
      </c>
      <c r="J350" s="3" t="str">
        <f>IF(Sales[[#This Row],[Purchase Amount]]&gt;0,"Yes","No")</f>
        <v>Yes</v>
      </c>
    </row>
    <row r="351" spans="1:10" x14ac:dyDescent="0.2">
      <c r="A351" s="3" t="s">
        <v>804</v>
      </c>
      <c r="B351" s="3" t="s">
        <v>523</v>
      </c>
      <c r="C351" s="3" t="s">
        <v>524</v>
      </c>
      <c r="D351" s="3" t="s">
        <v>525</v>
      </c>
      <c r="E351" s="3" t="s">
        <v>124</v>
      </c>
      <c r="F351" s="3" t="s">
        <v>119</v>
      </c>
      <c r="G351" s="3" t="s">
        <v>101</v>
      </c>
      <c r="H351" s="4">
        <v>45331</v>
      </c>
      <c r="I351" s="7">
        <v>145</v>
      </c>
      <c r="J351" s="3" t="str">
        <f>IF(Sales[[#This Row],[Purchase Amount]]&gt;0,"Yes","No")</f>
        <v>Yes</v>
      </c>
    </row>
    <row r="352" spans="1:10" x14ac:dyDescent="0.2">
      <c r="A352" s="3" t="s">
        <v>805</v>
      </c>
      <c r="B352" s="3" t="s">
        <v>423</v>
      </c>
      <c r="C352" s="3" t="s">
        <v>424</v>
      </c>
      <c r="D352" s="3" t="s">
        <v>425</v>
      </c>
      <c r="E352" s="3" t="s">
        <v>151</v>
      </c>
      <c r="F352" s="3" t="s">
        <v>604</v>
      </c>
      <c r="G352" s="3" t="s">
        <v>100</v>
      </c>
      <c r="H352" s="4">
        <v>45332</v>
      </c>
      <c r="I352" s="7"/>
      <c r="J352" s="3" t="str">
        <f>IF(Sales[[#This Row],[Purchase Amount]]&gt;0,"Yes","No")</f>
        <v>No</v>
      </c>
    </row>
    <row r="353" spans="1:10" x14ac:dyDescent="0.2">
      <c r="A353" s="3" t="s">
        <v>806</v>
      </c>
      <c r="B353" s="3" t="s">
        <v>390</v>
      </c>
      <c r="C353" s="3" t="s">
        <v>391</v>
      </c>
      <c r="D353" s="3" t="s">
        <v>392</v>
      </c>
      <c r="E353" s="3" t="s">
        <v>118</v>
      </c>
      <c r="F353" s="3" t="s">
        <v>388</v>
      </c>
      <c r="G353" s="3" t="s">
        <v>102</v>
      </c>
      <c r="H353" s="4">
        <v>45332</v>
      </c>
      <c r="I353" s="7">
        <v>280</v>
      </c>
      <c r="J353" s="3" t="str">
        <f>IF(Sales[[#This Row],[Purchase Amount]]&gt;0,"Yes","No")</f>
        <v>Yes</v>
      </c>
    </row>
    <row r="354" spans="1:10" x14ac:dyDescent="0.2">
      <c r="A354" s="3" t="s">
        <v>807</v>
      </c>
      <c r="B354" s="3" t="s">
        <v>542</v>
      </c>
      <c r="C354" s="3" t="s">
        <v>543</v>
      </c>
      <c r="D354" s="3" t="s">
        <v>544</v>
      </c>
      <c r="E354" s="3" t="s">
        <v>374</v>
      </c>
      <c r="F354" s="3" t="s">
        <v>748</v>
      </c>
      <c r="G354" s="3" t="s">
        <v>99</v>
      </c>
      <c r="H354" s="4">
        <v>45332</v>
      </c>
      <c r="I354" s="7">
        <v>335</v>
      </c>
      <c r="J354" s="3" t="str">
        <f>IF(Sales[[#This Row],[Purchase Amount]]&gt;0,"Yes","No")</f>
        <v>Yes</v>
      </c>
    </row>
    <row r="355" spans="1:10" x14ac:dyDescent="0.2">
      <c r="A355" s="3" t="s">
        <v>808</v>
      </c>
      <c r="B355" s="3" t="s">
        <v>282</v>
      </c>
      <c r="C355" s="3" t="s">
        <v>283</v>
      </c>
      <c r="D355" s="3" t="s">
        <v>284</v>
      </c>
      <c r="E355" s="3" t="s">
        <v>124</v>
      </c>
      <c r="F355" s="3" t="s">
        <v>406</v>
      </c>
      <c r="G355" s="3" t="s">
        <v>100</v>
      </c>
      <c r="H355" s="4">
        <v>45332</v>
      </c>
      <c r="I355" s="7">
        <v>830</v>
      </c>
      <c r="J355" s="3" t="str">
        <f>IF(Sales[[#This Row],[Purchase Amount]]&gt;0,"Yes","No")</f>
        <v>Yes</v>
      </c>
    </row>
    <row r="356" spans="1:10" x14ac:dyDescent="0.2">
      <c r="A356" s="3" t="s">
        <v>809</v>
      </c>
      <c r="B356" s="3" t="s">
        <v>377</v>
      </c>
      <c r="C356" s="3" t="s">
        <v>378</v>
      </c>
      <c r="D356" s="3" t="s">
        <v>379</v>
      </c>
      <c r="E356" s="3" t="s">
        <v>151</v>
      </c>
      <c r="F356" s="3" t="s">
        <v>162</v>
      </c>
      <c r="G356" s="3" t="s">
        <v>100</v>
      </c>
      <c r="H356" s="4">
        <v>45333</v>
      </c>
      <c r="I356" s="7"/>
      <c r="J356" s="3" t="str">
        <f>IF(Sales[[#This Row],[Purchase Amount]]&gt;0,"Yes","No")</f>
        <v>No</v>
      </c>
    </row>
    <row r="357" spans="1:10" x14ac:dyDescent="0.2">
      <c r="A357" s="3" t="s">
        <v>810</v>
      </c>
      <c r="B357" s="3" t="s">
        <v>312</v>
      </c>
      <c r="C357" s="3" t="s">
        <v>313</v>
      </c>
      <c r="D357" s="3" t="s">
        <v>314</v>
      </c>
      <c r="E357" s="3" t="s">
        <v>135</v>
      </c>
      <c r="F357" s="3" t="s">
        <v>336</v>
      </c>
      <c r="G357" s="3" t="s">
        <v>102</v>
      </c>
      <c r="H357" s="4">
        <v>45333</v>
      </c>
      <c r="I357" s="7"/>
      <c r="J357" s="3" t="str">
        <f>IF(Sales[[#This Row],[Purchase Amount]]&gt;0,"Yes","No")</f>
        <v>No</v>
      </c>
    </row>
    <row r="358" spans="1:10" x14ac:dyDescent="0.2">
      <c r="A358" s="3" t="s">
        <v>811</v>
      </c>
      <c r="B358" s="3" t="s">
        <v>222</v>
      </c>
      <c r="C358" s="3" t="s">
        <v>223</v>
      </c>
      <c r="D358" s="3" t="s">
        <v>224</v>
      </c>
      <c r="E358" s="3" t="s">
        <v>172</v>
      </c>
      <c r="F358" s="3" t="s">
        <v>220</v>
      </c>
      <c r="G358" s="3" t="s">
        <v>101</v>
      </c>
      <c r="H358" s="4">
        <v>45333</v>
      </c>
      <c r="I358" s="7">
        <v>505</v>
      </c>
      <c r="J358" s="3" t="str">
        <f>IF(Sales[[#This Row],[Purchase Amount]]&gt;0,"Yes","No")</f>
        <v>Yes</v>
      </c>
    </row>
    <row r="359" spans="1:10" x14ac:dyDescent="0.2">
      <c r="A359" s="3" t="s">
        <v>812</v>
      </c>
      <c r="B359" s="3" t="s">
        <v>679</v>
      </c>
      <c r="C359" s="3" t="s">
        <v>680</v>
      </c>
      <c r="D359" s="3" t="s">
        <v>681</v>
      </c>
      <c r="E359" s="3" t="s">
        <v>124</v>
      </c>
      <c r="F359" s="3" t="s">
        <v>250</v>
      </c>
      <c r="G359" s="3" t="s">
        <v>100</v>
      </c>
      <c r="H359" s="4">
        <v>45333</v>
      </c>
      <c r="I359" s="7">
        <v>140</v>
      </c>
      <c r="J359" s="3" t="str">
        <f>IF(Sales[[#This Row],[Purchase Amount]]&gt;0,"Yes","No")</f>
        <v>Yes</v>
      </c>
    </row>
    <row r="360" spans="1:10" x14ac:dyDescent="0.2">
      <c r="A360" s="3" t="s">
        <v>813</v>
      </c>
      <c r="B360" s="3" t="s">
        <v>778</v>
      </c>
      <c r="C360" s="3" t="s">
        <v>779</v>
      </c>
      <c r="D360" s="3" t="s">
        <v>780</v>
      </c>
      <c r="E360" s="3" t="s">
        <v>172</v>
      </c>
      <c r="F360" s="3" t="s">
        <v>220</v>
      </c>
      <c r="G360" s="3" t="s">
        <v>102</v>
      </c>
      <c r="H360" s="4">
        <v>45333</v>
      </c>
      <c r="I360" s="7">
        <v>125</v>
      </c>
      <c r="J360" s="3" t="str">
        <f>IF(Sales[[#This Row],[Purchase Amount]]&gt;0,"Yes","No")</f>
        <v>Yes</v>
      </c>
    </row>
    <row r="361" spans="1:10" x14ac:dyDescent="0.2">
      <c r="A361" s="3" t="s">
        <v>814</v>
      </c>
      <c r="B361" s="3" t="s">
        <v>815</v>
      </c>
      <c r="C361" s="3" t="s">
        <v>816</v>
      </c>
      <c r="D361" s="3" t="s">
        <v>817</v>
      </c>
      <c r="E361" s="3" t="s">
        <v>172</v>
      </c>
      <c r="F361" s="3" t="s">
        <v>260</v>
      </c>
      <c r="G361" s="3" t="s">
        <v>102</v>
      </c>
      <c r="H361" s="4">
        <v>45333</v>
      </c>
      <c r="I361" s="7">
        <v>730</v>
      </c>
      <c r="J361" s="3" t="str">
        <f>IF(Sales[[#This Row],[Purchase Amount]]&gt;0,"Yes","No")</f>
        <v>Yes</v>
      </c>
    </row>
    <row r="362" spans="1:10" x14ac:dyDescent="0.2">
      <c r="A362" s="3" t="s">
        <v>818</v>
      </c>
      <c r="B362" s="3" t="s">
        <v>436</v>
      </c>
      <c r="C362" s="3" t="s">
        <v>437</v>
      </c>
      <c r="D362" s="3" t="s">
        <v>438</v>
      </c>
      <c r="E362" s="3" t="s">
        <v>135</v>
      </c>
      <c r="F362" s="3" t="s">
        <v>162</v>
      </c>
      <c r="G362" s="3" t="s">
        <v>102</v>
      </c>
      <c r="H362" s="4">
        <v>45334</v>
      </c>
      <c r="I362" s="7"/>
      <c r="J362" s="3" t="str">
        <f>IF(Sales[[#This Row],[Purchase Amount]]&gt;0,"Yes","No")</f>
        <v>No</v>
      </c>
    </row>
    <row r="363" spans="1:10" x14ac:dyDescent="0.2">
      <c r="A363" s="3" t="s">
        <v>819</v>
      </c>
      <c r="B363" s="3" t="s">
        <v>202</v>
      </c>
      <c r="C363" s="3" t="s">
        <v>203</v>
      </c>
      <c r="D363" s="3" t="s">
        <v>204</v>
      </c>
      <c r="E363" s="3" t="s">
        <v>172</v>
      </c>
      <c r="F363" s="3" t="s">
        <v>231</v>
      </c>
      <c r="G363" s="3" t="s">
        <v>100</v>
      </c>
      <c r="H363" s="4">
        <v>45334</v>
      </c>
      <c r="I363" s="7">
        <v>775</v>
      </c>
      <c r="J363" s="3" t="str">
        <f>IF(Sales[[#This Row],[Purchase Amount]]&gt;0,"Yes","No")</f>
        <v>Yes</v>
      </c>
    </row>
    <row r="364" spans="1:10" x14ac:dyDescent="0.2">
      <c r="A364" s="3" t="s">
        <v>820</v>
      </c>
      <c r="B364" s="3" t="s">
        <v>492</v>
      </c>
      <c r="C364" s="3" t="s">
        <v>493</v>
      </c>
      <c r="D364" s="3" t="s">
        <v>494</v>
      </c>
      <c r="E364" s="3" t="s">
        <v>130</v>
      </c>
      <c r="F364" s="3" t="s">
        <v>136</v>
      </c>
      <c r="G364" s="3" t="s">
        <v>100</v>
      </c>
      <c r="H364" s="4">
        <v>45334</v>
      </c>
      <c r="I364" s="7">
        <v>1385</v>
      </c>
      <c r="J364" s="3" t="str">
        <f>IF(Sales[[#This Row],[Purchase Amount]]&gt;0,"Yes","No")</f>
        <v>Yes</v>
      </c>
    </row>
    <row r="365" spans="1:10" x14ac:dyDescent="0.2">
      <c r="A365" s="3" t="s">
        <v>821</v>
      </c>
      <c r="B365" s="3" t="s">
        <v>164</v>
      </c>
      <c r="C365" s="3" t="s">
        <v>165</v>
      </c>
      <c r="D365" s="3" t="s">
        <v>166</v>
      </c>
      <c r="E365" s="3" t="s">
        <v>130</v>
      </c>
      <c r="F365" s="3" t="s">
        <v>451</v>
      </c>
      <c r="G365" s="3" t="s">
        <v>100</v>
      </c>
      <c r="H365" s="4">
        <v>45334</v>
      </c>
      <c r="I365" s="7">
        <v>455</v>
      </c>
      <c r="J365" s="3" t="str">
        <f>IF(Sales[[#This Row],[Purchase Amount]]&gt;0,"Yes","No")</f>
        <v>Yes</v>
      </c>
    </row>
    <row r="366" spans="1:10" x14ac:dyDescent="0.2">
      <c r="A366" s="3" t="s">
        <v>822</v>
      </c>
      <c r="B366" s="3" t="s">
        <v>735</v>
      </c>
      <c r="C366" s="3" t="s">
        <v>736</v>
      </c>
      <c r="D366" s="3" t="s">
        <v>737</v>
      </c>
      <c r="E366" s="3" t="s">
        <v>374</v>
      </c>
      <c r="F366" s="3" t="s">
        <v>309</v>
      </c>
      <c r="G366" s="3" t="s">
        <v>100</v>
      </c>
      <c r="H366" s="4">
        <v>45335</v>
      </c>
      <c r="I366" s="7"/>
      <c r="J366" s="3" t="str">
        <f>IF(Sales[[#This Row],[Purchase Amount]]&gt;0,"Yes","No")</f>
        <v>No</v>
      </c>
    </row>
    <row r="367" spans="1:10" x14ac:dyDescent="0.2">
      <c r="A367" s="3" t="s">
        <v>823</v>
      </c>
      <c r="B367" s="3" t="s">
        <v>287</v>
      </c>
      <c r="C367" s="3" t="s">
        <v>288</v>
      </c>
      <c r="D367" s="3" t="s">
        <v>289</v>
      </c>
      <c r="E367" s="3" t="s">
        <v>151</v>
      </c>
      <c r="F367" s="3" t="s">
        <v>231</v>
      </c>
      <c r="G367" s="3" t="s">
        <v>102</v>
      </c>
      <c r="H367" s="4">
        <v>45335</v>
      </c>
      <c r="I367" s="7"/>
      <c r="J367" s="3" t="str">
        <f>IF(Sales[[#This Row],[Purchase Amount]]&gt;0,"Yes","No")</f>
        <v>No</v>
      </c>
    </row>
    <row r="368" spans="1:10" x14ac:dyDescent="0.2">
      <c r="A368" s="3" t="s">
        <v>824</v>
      </c>
      <c r="B368" s="3" t="s">
        <v>462</v>
      </c>
      <c r="C368" s="3" t="s">
        <v>463</v>
      </c>
      <c r="D368" s="3" t="s">
        <v>464</v>
      </c>
      <c r="E368" s="3" t="s">
        <v>198</v>
      </c>
      <c r="F368" s="3" t="s">
        <v>553</v>
      </c>
      <c r="G368" s="3" t="s">
        <v>102</v>
      </c>
      <c r="H368" s="4">
        <v>45335</v>
      </c>
      <c r="I368" s="7">
        <v>530</v>
      </c>
      <c r="J368" s="3" t="str">
        <f>IF(Sales[[#This Row],[Purchase Amount]]&gt;0,"Yes","No")</f>
        <v>Yes</v>
      </c>
    </row>
    <row r="369" spans="1:10" x14ac:dyDescent="0.2">
      <c r="A369" s="3" t="s">
        <v>825</v>
      </c>
      <c r="B369" s="3" t="s">
        <v>638</v>
      </c>
      <c r="C369" s="3" t="s">
        <v>639</v>
      </c>
      <c r="D369" s="3" t="s">
        <v>640</v>
      </c>
      <c r="E369" s="3" t="s">
        <v>135</v>
      </c>
      <c r="F369" s="3" t="s">
        <v>260</v>
      </c>
      <c r="G369" s="3" t="s">
        <v>100</v>
      </c>
      <c r="H369" s="4">
        <v>45335</v>
      </c>
      <c r="I369" s="7">
        <v>775</v>
      </c>
      <c r="J369" s="3" t="str">
        <f>IF(Sales[[#This Row],[Purchase Amount]]&gt;0,"Yes","No")</f>
        <v>Yes</v>
      </c>
    </row>
    <row r="370" spans="1:10" x14ac:dyDescent="0.2">
      <c r="A370" s="3" t="s">
        <v>826</v>
      </c>
      <c r="B370" s="3" t="s">
        <v>394</v>
      </c>
      <c r="C370" s="3" t="s">
        <v>395</v>
      </c>
      <c r="D370" s="3" t="s">
        <v>396</v>
      </c>
      <c r="E370" s="3" t="s">
        <v>118</v>
      </c>
      <c r="F370" s="3" t="s">
        <v>231</v>
      </c>
      <c r="G370" s="3" t="s">
        <v>102</v>
      </c>
      <c r="H370" s="4">
        <v>45335</v>
      </c>
      <c r="I370" s="7">
        <v>965</v>
      </c>
      <c r="J370" s="3" t="str">
        <f>IF(Sales[[#This Row],[Purchase Amount]]&gt;0,"Yes","No")</f>
        <v>Yes</v>
      </c>
    </row>
    <row r="371" spans="1:10" x14ac:dyDescent="0.2">
      <c r="A371" s="3" t="s">
        <v>827</v>
      </c>
      <c r="B371" s="3" t="s">
        <v>755</v>
      </c>
      <c r="C371" s="3" t="s">
        <v>756</v>
      </c>
      <c r="D371" s="3" t="s">
        <v>757</v>
      </c>
      <c r="E371" s="3" t="s">
        <v>118</v>
      </c>
      <c r="F371" s="3" t="s">
        <v>465</v>
      </c>
      <c r="G371" s="3" t="s">
        <v>101</v>
      </c>
      <c r="H371" s="4">
        <v>45335</v>
      </c>
      <c r="I371" s="7">
        <v>1140</v>
      </c>
      <c r="J371" s="3" t="str">
        <f>IF(Sales[[#This Row],[Purchase Amount]]&gt;0,"Yes","No")</f>
        <v>Yes</v>
      </c>
    </row>
    <row r="372" spans="1:10" x14ac:dyDescent="0.2">
      <c r="A372" s="3" t="s">
        <v>828</v>
      </c>
      <c r="B372" s="3" t="s">
        <v>555</v>
      </c>
      <c r="C372" s="3" t="s">
        <v>556</v>
      </c>
      <c r="D372" s="3" t="s">
        <v>557</v>
      </c>
      <c r="E372" s="3" t="s">
        <v>172</v>
      </c>
      <c r="F372" s="3" t="s">
        <v>136</v>
      </c>
      <c r="G372" s="3" t="s">
        <v>100</v>
      </c>
      <c r="H372" s="4">
        <v>45335</v>
      </c>
      <c r="I372" s="7">
        <v>790</v>
      </c>
      <c r="J372" s="3" t="str">
        <f>IF(Sales[[#This Row],[Purchase Amount]]&gt;0,"Yes","No")</f>
        <v>Yes</v>
      </c>
    </row>
    <row r="373" spans="1:10" x14ac:dyDescent="0.2">
      <c r="A373" s="3" t="s">
        <v>829</v>
      </c>
      <c r="B373" s="3" t="s">
        <v>312</v>
      </c>
      <c r="C373" s="3" t="s">
        <v>313</v>
      </c>
      <c r="D373" s="3" t="s">
        <v>314</v>
      </c>
      <c r="E373" s="3" t="s">
        <v>135</v>
      </c>
      <c r="F373" s="3" t="s">
        <v>431</v>
      </c>
      <c r="G373" s="3" t="s">
        <v>100</v>
      </c>
      <c r="H373" s="4">
        <v>45335</v>
      </c>
      <c r="I373" s="7">
        <v>695</v>
      </c>
      <c r="J373" s="3" t="str">
        <f>IF(Sales[[#This Row],[Purchase Amount]]&gt;0,"Yes","No")</f>
        <v>Yes</v>
      </c>
    </row>
    <row r="374" spans="1:10" x14ac:dyDescent="0.2">
      <c r="A374" s="3" t="s">
        <v>830</v>
      </c>
      <c r="B374" s="3" t="s">
        <v>189</v>
      </c>
      <c r="C374" s="3" t="s">
        <v>190</v>
      </c>
      <c r="D374" s="3" t="s">
        <v>191</v>
      </c>
      <c r="E374" s="3" t="s">
        <v>192</v>
      </c>
      <c r="F374" s="3" t="s">
        <v>205</v>
      </c>
      <c r="G374" s="3" t="s">
        <v>101</v>
      </c>
      <c r="H374" s="4">
        <v>45336</v>
      </c>
      <c r="I374" s="7">
        <v>1115</v>
      </c>
      <c r="J374" s="3" t="str">
        <f>IF(Sales[[#This Row],[Purchase Amount]]&gt;0,"Yes","No")</f>
        <v>Yes</v>
      </c>
    </row>
    <row r="375" spans="1:10" x14ac:dyDescent="0.2">
      <c r="A375" s="3" t="s">
        <v>831</v>
      </c>
      <c r="B375" s="3" t="s">
        <v>381</v>
      </c>
      <c r="C375" s="3" t="s">
        <v>382</v>
      </c>
      <c r="D375" s="3" t="s">
        <v>383</v>
      </c>
      <c r="E375" s="3" t="s">
        <v>151</v>
      </c>
      <c r="F375" s="3" t="s">
        <v>183</v>
      </c>
      <c r="G375" s="3" t="s">
        <v>102</v>
      </c>
      <c r="H375" s="4">
        <v>45336</v>
      </c>
      <c r="I375" s="7">
        <v>785</v>
      </c>
      <c r="J375" s="3" t="str">
        <f>IF(Sales[[#This Row],[Purchase Amount]]&gt;0,"Yes","No")</f>
        <v>Yes</v>
      </c>
    </row>
    <row r="376" spans="1:10" x14ac:dyDescent="0.2">
      <c r="A376" s="3" t="s">
        <v>832</v>
      </c>
      <c r="B376" s="3" t="s">
        <v>143</v>
      </c>
      <c r="C376" s="3" t="s">
        <v>144</v>
      </c>
      <c r="D376" s="3" t="s">
        <v>145</v>
      </c>
      <c r="E376" s="3" t="s">
        <v>130</v>
      </c>
      <c r="F376" s="3" t="s">
        <v>294</v>
      </c>
      <c r="G376" s="3" t="s">
        <v>101</v>
      </c>
      <c r="H376" s="4">
        <v>45336</v>
      </c>
      <c r="I376" s="7">
        <v>255</v>
      </c>
      <c r="J376" s="3" t="str">
        <f>IF(Sales[[#This Row],[Purchase Amount]]&gt;0,"Yes","No")</f>
        <v>Yes</v>
      </c>
    </row>
    <row r="377" spans="1:10" x14ac:dyDescent="0.2">
      <c r="A377" s="3" t="s">
        <v>833</v>
      </c>
      <c r="B377" s="3" t="s">
        <v>419</v>
      </c>
      <c r="C377" s="3" t="s">
        <v>420</v>
      </c>
      <c r="D377" s="3" t="s">
        <v>421</v>
      </c>
      <c r="E377" s="3" t="s">
        <v>244</v>
      </c>
      <c r="F377" s="3" t="s">
        <v>245</v>
      </c>
      <c r="G377" s="3" t="s">
        <v>102</v>
      </c>
      <c r="H377" s="4">
        <v>45336</v>
      </c>
      <c r="I377" s="7">
        <v>15</v>
      </c>
      <c r="J377" s="3" t="str">
        <f>IF(Sales[[#This Row],[Purchase Amount]]&gt;0,"Yes","No")</f>
        <v>Yes</v>
      </c>
    </row>
    <row r="378" spans="1:10" x14ac:dyDescent="0.2">
      <c r="A378" s="3" t="s">
        <v>834</v>
      </c>
      <c r="B378" s="3" t="s">
        <v>638</v>
      </c>
      <c r="C378" s="3" t="s">
        <v>639</v>
      </c>
      <c r="D378" s="3" t="s">
        <v>640</v>
      </c>
      <c r="E378" s="3" t="s">
        <v>135</v>
      </c>
      <c r="F378" s="3" t="s">
        <v>604</v>
      </c>
      <c r="G378" s="3" t="s">
        <v>101</v>
      </c>
      <c r="H378" s="4">
        <v>45336</v>
      </c>
      <c r="I378" s="7">
        <v>440</v>
      </c>
      <c r="J378" s="3" t="str">
        <f>IF(Sales[[#This Row],[Purchase Amount]]&gt;0,"Yes","No")</f>
        <v>Yes</v>
      </c>
    </row>
    <row r="379" spans="1:10" x14ac:dyDescent="0.2">
      <c r="A379" s="3" t="s">
        <v>835</v>
      </c>
      <c r="B379" s="3" t="s">
        <v>353</v>
      </c>
      <c r="C379" s="3" t="s">
        <v>354</v>
      </c>
      <c r="D379" s="3" t="s">
        <v>355</v>
      </c>
      <c r="E379" s="3" t="s">
        <v>151</v>
      </c>
      <c r="F379" s="3" t="s">
        <v>325</v>
      </c>
      <c r="G379" s="3" t="s">
        <v>100</v>
      </c>
      <c r="H379" s="4">
        <v>45336</v>
      </c>
      <c r="I379" s="7">
        <v>1615</v>
      </c>
      <c r="J379" s="3" t="str">
        <f>IF(Sales[[#This Row],[Purchase Amount]]&gt;0,"Yes","No")</f>
        <v>Yes</v>
      </c>
    </row>
    <row r="380" spans="1:10" x14ac:dyDescent="0.2">
      <c r="A380" s="3" t="s">
        <v>836</v>
      </c>
      <c r="B380" s="3" t="s">
        <v>638</v>
      </c>
      <c r="C380" s="3" t="s">
        <v>639</v>
      </c>
      <c r="D380" s="3" t="s">
        <v>640</v>
      </c>
      <c r="E380" s="3" t="s">
        <v>135</v>
      </c>
      <c r="F380" s="3" t="s">
        <v>225</v>
      </c>
      <c r="G380" s="3" t="s">
        <v>102</v>
      </c>
      <c r="H380" s="4">
        <v>45336</v>
      </c>
      <c r="I380" s="7">
        <v>195</v>
      </c>
      <c r="J380" s="3" t="str">
        <f>IF(Sales[[#This Row],[Purchase Amount]]&gt;0,"Yes","No")</f>
        <v>Yes</v>
      </c>
    </row>
    <row r="381" spans="1:10" x14ac:dyDescent="0.2">
      <c r="A381" s="3" t="s">
        <v>837</v>
      </c>
      <c r="B381" s="3" t="s">
        <v>362</v>
      </c>
      <c r="C381" s="3" t="s">
        <v>363</v>
      </c>
      <c r="D381" s="3" t="s">
        <v>364</v>
      </c>
      <c r="E381" s="3" t="s">
        <v>130</v>
      </c>
      <c r="F381" s="3" t="s">
        <v>294</v>
      </c>
      <c r="G381" s="3" t="s">
        <v>100</v>
      </c>
      <c r="H381" s="4">
        <v>45337</v>
      </c>
      <c r="I381" s="7"/>
      <c r="J381" s="3" t="str">
        <f>IF(Sales[[#This Row],[Purchase Amount]]&gt;0,"Yes","No")</f>
        <v>No</v>
      </c>
    </row>
    <row r="382" spans="1:10" x14ac:dyDescent="0.2">
      <c r="A382" s="3" t="s">
        <v>838</v>
      </c>
      <c r="B382" s="3" t="s">
        <v>185</v>
      </c>
      <c r="C382" s="3" t="s">
        <v>186</v>
      </c>
      <c r="D382" s="3" t="s">
        <v>187</v>
      </c>
      <c r="E382" s="3" t="s">
        <v>151</v>
      </c>
      <c r="F382" s="3" t="s">
        <v>167</v>
      </c>
      <c r="G382" s="3" t="s">
        <v>101</v>
      </c>
      <c r="H382" s="4">
        <v>45337</v>
      </c>
      <c r="I382" s="7">
        <v>765</v>
      </c>
      <c r="J382" s="3" t="str">
        <f>IF(Sales[[#This Row],[Purchase Amount]]&gt;0,"Yes","No")</f>
        <v>Yes</v>
      </c>
    </row>
    <row r="383" spans="1:10" x14ac:dyDescent="0.2">
      <c r="A383" s="3" t="s">
        <v>839</v>
      </c>
      <c r="B383" s="3" t="s">
        <v>362</v>
      </c>
      <c r="C383" s="3" t="s">
        <v>363</v>
      </c>
      <c r="D383" s="3" t="s">
        <v>364</v>
      </c>
      <c r="E383" s="3" t="s">
        <v>130</v>
      </c>
      <c r="F383" s="3" t="s">
        <v>119</v>
      </c>
      <c r="G383" s="3" t="s">
        <v>100</v>
      </c>
      <c r="H383" s="4">
        <v>45337</v>
      </c>
      <c r="I383" s="7">
        <v>175</v>
      </c>
      <c r="J383" s="3" t="str">
        <f>IF(Sales[[#This Row],[Purchase Amount]]&gt;0,"Yes","No")</f>
        <v>Yes</v>
      </c>
    </row>
    <row r="384" spans="1:10" x14ac:dyDescent="0.2">
      <c r="A384" s="3" t="s">
        <v>840</v>
      </c>
      <c r="B384" s="3" t="s">
        <v>841</v>
      </c>
      <c r="C384" s="3" t="s">
        <v>842</v>
      </c>
      <c r="D384" s="3" t="s">
        <v>843</v>
      </c>
      <c r="E384" s="3" t="s">
        <v>244</v>
      </c>
      <c r="F384" s="3" t="s">
        <v>294</v>
      </c>
      <c r="G384" s="3" t="s">
        <v>99</v>
      </c>
      <c r="H384" s="4">
        <v>45337</v>
      </c>
      <c r="I384" s="7">
        <v>270</v>
      </c>
      <c r="J384" s="3" t="str">
        <f>IF(Sales[[#This Row],[Purchase Amount]]&gt;0,"Yes","No")</f>
        <v>Yes</v>
      </c>
    </row>
    <row r="385" spans="1:10" x14ac:dyDescent="0.2">
      <c r="A385" s="3" t="s">
        <v>844</v>
      </c>
      <c r="B385" s="3" t="s">
        <v>312</v>
      </c>
      <c r="C385" s="3" t="s">
        <v>313</v>
      </c>
      <c r="D385" s="3" t="s">
        <v>314</v>
      </c>
      <c r="E385" s="3" t="s">
        <v>135</v>
      </c>
      <c r="F385" s="3" t="s">
        <v>294</v>
      </c>
      <c r="G385" s="3" t="s">
        <v>100</v>
      </c>
      <c r="H385" s="4">
        <v>45338</v>
      </c>
      <c r="I385" s="7"/>
      <c r="J385" s="3" t="str">
        <f>IF(Sales[[#This Row],[Purchase Amount]]&gt;0,"Yes","No")</f>
        <v>No</v>
      </c>
    </row>
    <row r="386" spans="1:10" x14ac:dyDescent="0.2">
      <c r="A386" s="3" t="s">
        <v>845</v>
      </c>
      <c r="B386" s="3" t="s">
        <v>402</v>
      </c>
      <c r="C386" s="3" t="s">
        <v>403</v>
      </c>
      <c r="D386" s="3" t="s">
        <v>404</v>
      </c>
      <c r="E386" s="3" t="s">
        <v>151</v>
      </c>
      <c r="F386" s="3" t="s">
        <v>320</v>
      </c>
      <c r="G386" s="3" t="s">
        <v>101</v>
      </c>
      <c r="H386" s="4">
        <v>45338</v>
      </c>
      <c r="I386" s="7">
        <v>525</v>
      </c>
      <c r="J386" s="3" t="str">
        <f>IF(Sales[[#This Row],[Purchase Amount]]&gt;0,"Yes","No")</f>
        <v>Yes</v>
      </c>
    </row>
    <row r="387" spans="1:10" x14ac:dyDescent="0.2">
      <c r="A387" s="3" t="s">
        <v>846</v>
      </c>
      <c r="B387" s="3" t="s">
        <v>91</v>
      </c>
      <c r="C387" s="3" t="s">
        <v>133</v>
      </c>
      <c r="D387" s="3" t="s">
        <v>134</v>
      </c>
      <c r="E387" s="3" t="s">
        <v>135</v>
      </c>
      <c r="F387" s="3" t="s">
        <v>549</v>
      </c>
      <c r="G387" s="3" t="s">
        <v>102</v>
      </c>
      <c r="H387" s="4">
        <v>45338</v>
      </c>
      <c r="I387" s="7">
        <v>710</v>
      </c>
      <c r="J387" s="3" t="str">
        <f>IF(Sales[[#This Row],[Purchase Amount]]&gt;0,"Yes","No")</f>
        <v>Yes</v>
      </c>
    </row>
    <row r="388" spans="1:10" x14ac:dyDescent="0.2">
      <c r="A388" s="3" t="s">
        <v>847</v>
      </c>
      <c r="B388" s="3" t="s">
        <v>371</v>
      </c>
      <c r="C388" s="3" t="s">
        <v>372</v>
      </c>
      <c r="D388" s="3" t="s">
        <v>373</v>
      </c>
      <c r="E388" s="3" t="s">
        <v>374</v>
      </c>
      <c r="F388" s="3" t="s">
        <v>309</v>
      </c>
      <c r="G388" s="3" t="s">
        <v>101</v>
      </c>
      <c r="H388" s="4">
        <v>45338</v>
      </c>
      <c r="I388" s="7">
        <v>1220</v>
      </c>
      <c r="J388" s="3" t="str">
        <f>IF(Sales[[#This Row],[Purchase Amount]]&gt;0,"Yes","No")</f>
        <v>Yes</v>
      </c>
    </row>
    <row r="389" spans="1:10" x14ac:dyDescent="0.2">
      <c r="A389" s="3" t="s">
        <v>848</v>
      </c>
      <c r="B389" s="3" t="s">
        <v>390</v>
      </c>
      <c r="C389" s="3" t="s">
        <v>391</v>
      </c>
      <c r="D389" s="3" t="s">
        <v>392</v>
      </c>
      <c r="E389" s="3" t="s">
        <v>118</v>
      </c>
      <c r="F389" s="3" t="s">
        <v>225</v>
      </c>
      <c r="G389" s="3" t="s">
        <v>100</v>
      </c>
      <c r="H389" s="4">
        <v>45338</v>
      </c>
      <c r="I389" s="7">
        <v>85</v>
      </c>
      <c r="J389" s="3" t="str">
        <f>IF(Sales[[#This Row],[Purchase Amount]]&gt;0,"Yes","No")</f>
        <v>Yes</v>
      </c>
    </row>
    <row r="390" spans="1:10" x14ac:dyDescent="0.2">
      <c r="A390" s="3" t="s">
        <v>849</v>
      </c>
      <c r="B390" s="3" t="s">
        <v>195</v>
      </c>
      <c r="C390" s="3" t="s">
        <v>196</v>
      </c>
      <c r="D390" s="3" t="s">
        <v>197</v>
      </c>
      <c r="E390" s="3" t="s">
        <v>198</v>
      </c>
      <c r="F390" s="3" t="s">
        <v>262</v>
      </c>
      <c r="G390" s="3" t="s">
        <v>100</v>
      </c>
      <c r="H390" s="4">
        <v>45338</v>
      </c>
      <c r="I390" s="7">
        <v>875</v>
      </c>
      <c r="J390" s="3" t="str">
        <f>IF(Sales[[#This Row],[Purchase Amount]]&gt;0,"Yes","No")</f>
        <v>Yes</v>
      </c>
    </row>
    <row r="391" spans="1:10" x14ac:dyDescent="0.2">
      <c r="A391" s="3" t="s">
        <v>850</v>
      </c>
      <c r="B391" s="3" t="s">
        <v>414</v>
      </c>
      <c r="C391" s="3" t="s">
        <v>415</v>
      </c>
      <c r="D391" s="3" t="s">
        <v>416</v>
      </c>
      <c r="E391" s="3" t="s">
        <v>118</v>
      </c>
      <c r="F391" s="3" t="s">
        <v>465</v>
      </c>
      <c r="G391" s="3" t="s">
        <v>102</v>
      </c>
      <c r="H391" s="4">
        <v>45338</v>
      </c>
      <c r="I391" s="7">
        <v>185</v>
      </c>
      <c r="J391" s="3" t="str">
        <f>IF(Sales[[#This Row],[Purchase Amount]]&gt;0,"Yes","No")</f>
        <v>Yes</v>
      </c>
    </row>
    <row r="392" spans="1:10" x14ac:dyDescent="0.2">
      <c r="A392" s="3" t="s">
        <v>851</v>
      </c>
      <c r="B392" s="3" t="s">
        <v>257</v>
      </c>
      <c r="C392" s="3" t="s">
        <v>258</v>
      </c>
      <c r="D392" s="3" t="s">
        <v>259</v>
      </c>
      <c r="E392" s="3" t="s">
        <v>244</v>
      </c>
      <c r="F392" s="3" t="s">
        <v>388</v>
      </c>
      <c r="G392" s="3" t="s">
        <v>100</v>
      </c>
      <c r="H392" s="4">
        <v>45338</v>
      </c>
      <c r="I392" s="7">
        <v>610</v>
      </c>
      <c r="J392" s="3" t="str">
        <f>IF(Sales[[#This Row],[Purchase Amount]]&gt;0,"Yes","No")</f>
        <v>Yes</v>
      </c>
    </row>
    <row r="393" spans="1:10" x14ac:dyDescent="0.2">
      <c r="A393" s="3" t="s">
        <v>852</v>
      </c>
      <c r="B393" s="3" t="s">
        <v>419</v>
      </c>
      <c r="C393" s="3" t="s">
        <v>420</v>
      </c>
      <c r="D393" s="3" t="s">
        <v>421</v>
      </c>
      <c r="E393" s="3" t="s">
        <v>244</v>
      </c>
      <c r="F393" s="3" t="s">
        <v>481</v>
      </c>
      <c r="G393" s="3" t="s">
        <v>102</v>
      </c>
      <c r="H393" s="4">
        <v>45339</v>
      </c>
      <c r="I393" s="7"/>
      <c r="J393" s="3" t="str">
        <f>IF(Sales[[#This Row],[Purchase Amount]]&gt;0,"Yes","No")</f>
        <v>No</v>
      </c>
    </row>
    <row r="394" spans="1:10" x14ac:dyDescent="0.2">
      <c r="A394" s="3" t="s">
        <v>853</v>
      </c>
      <c r="B394" s="3" t="s">
        <v>414</v>
      </c>
      <c r="C394" s="3" t="s">
        <v>415</v>
      </c>
      <c r="D394" s="3" t="s">
        <v>416</v>
      </c>
      <c r="E394" s="3" t="s">
        <v>118</v>
      </c>
      <c r="F394" s="3" t="s">
        <v>330</v>
      </c>
      <c r="G394" s="3" t="s">
        <v>99</v>
      </c>
      <c r="H394" s="4">
        <v>45339</v>
      </c>
      <c r="I394" s="7">
        <v>865</v>
      </c>
      <c r="J394" s="3" t="str">
        <f>IF(Sales[[#This Row],[Purchase Amount]]&gt;0,"Yes","No")</f>
        <v>Yes</v>
      </c>
    </row>
    <row r="395" spans="1:10" x14ac:dyDescent="0.2">
      <c r="A395" s="3" t="s">
        <v>854</v>
      </c>
      <c r="B395" s="3" t="s">
        <v>478</v>
      </c>
      <c r="C395" s="3" t="s">
        <v>479</v>
      </c>
      <c r="D395" s="3" t="s">
        <v>480</v>
      </c>
      <c r="E395" s="3" t="s">
        <v>124</v>
      </c>
      <c r="F395" s="3" t="s">
        <v>262</v>
      </c>
      <c r="G395" s="3" t="s">
        <v>102</v>
      </c>
      <c r="H395" s="4">
        <v>45340</v>
      </c>
      <c r="I395" s="7"/>
      <c r="J395" s="3" t="str">
        <f>IF(Sales[[#This Row],[Purchase Amount]]&gt;0,"Yes","No")</f>
        <v>No</v>
      </c>
    </row>
    <row r="396" spans="1:10" x14ac:dyDescent="0.2">
      <c r="A396" s="3" t="s">
        <v>855</v>
      </c>
      <c r="B396" s="3" t="s">
        <v>542</v>
      </c>
      <c r="C396" s="3" t="s">
        <v>543</v>
      </c>
      <c r="D396" s="3" t="s">
        <v>544</v>
      </c>
      <c r="E396" s="3" t="s">
        <v>374</v>
      </c>
      <c r="F396" s="3" t="s">
        <v>199</v>
      </c>
      <c r="G396" s="3" t="s">
        <v>99</v>
      </c>
      <c r="H396" s="4">
        <v>45340</v>
      </c>
      <c r="I396" s="7">
        <v>365</v>
      </c>
      <c r="J396" s="3" t="str">
        <f>IF(Sales[[#This Row],[Purchase Amount]]&gt;0,"Yes","No")</f>
        <v>Yes</v>
      </c>
    </row>
    <row r="397" spans="1:10" x14ac:dyDescent="0.2">
      <c r="A397" s="3" t="s">
        <v>856</v>
      </c>
      <c r="B397" s="3" t="s">
        <v>671</v>
      </c>
      <c r="C397" s="3" t="s">
        <v>672</v>
      </c>
      <c r="D397" s="3" t="s">
        <v>673</v>
      </c>
      <c r="E397" s="3" t="s">
        <v>135</v>
      </c>
      <c r="F397" s="3" t="s">
        <v>157</v>
      </c>
      <c r="G397" s="3" t="s">
        <v>100</v>
      </c>
      <c r="H397" s="4">
        <v>45340</v>
      </c>
      <c r="I397" s="7">
        <v>390</v>
      </c>
      <c r="J397" s="3" t="str">
        <f>IF(Sales[[#This Row],[Purchase Amount]]&gt;0,"Yes","No")</f>
        <v>Yes</v>
      </c>
    </row>
    <row r="398" spans="1:10" x14ac:dyDescent="0.2">
      <c r="A398" s="3" t="s">
        <v>857</v>
      </c>
      <c r="B398" s="3" t="s">
        <v>247</v>
      </c>
      <c r="C398" s="3" t="s">
        <v>248</v>
      </c>
      <c r="D398" s="3" t="s">
        <v>249</v>
      </c>
      <c r="E398" s="3" t="s">
        <v>118</v>
      </c>
      <c r="F398" s="3" t="s">
        <v>549</v>
      </c>
      <c r="G398" s="3" t="s">
        <v>102</v>
      </c>
      <c r="H398" s="4">
        <v>45341</v>
      </c>
      <c r="I398" s="7"/>
      <c r="J398" s="3" t="str">
        <f>IF(Sales[[#This Row],[Purchase Amount]]&gt;0,"Yes","No")</f>
        <v>No</v>
      </c>
    </row>
    <row r="399" spans="1:10" x14ac:dyDescent="0.2">
      <c r="A399" s="3" t="s">
        <v>858</v>
      </c>
      <c r="B399" s="3" t="s">
        <v>538</v>
      </c>
      <c r="C399" s="3" t="s">
        <v>539</v>
      </c>
      <c r="D399" s="3" t="s">
        <v>540</v>
      </c>
      <c r="E399" s="3" t="s">
        <v>118</v>
      </c>
      <c r="F399" s="3" t="s">
        <v>294</v>
      </c>
      <c r="G399" s="3" t="s">
        <v>101</v>
      </c>
      <c r="H399" s="4">
        <v>45341</v>
      </c>
      <c r="I399" s="7"/>
      <c r="J399" s="3" t="str">
        <f>IF(Sales[[#This Row],[Purchase Amount]]&gt;0,"Yes","No")</f>
        <v>No</v>
      </c>
    </row>
    <row r="400" spans="1:10" x14ac:dyDescent="0.2">
      <c r="A400" s="3" t="s">
        <v>859</v>
      </c>
      <c r="B400" s="3" t="s">
        <v>291</v>
      </c>
      <c r="C400" s="3" t="s">
        <v>292</v>
      </c>
      <c r="D400" s="3" t="s">
        <v>293</v>
      </c>
      <c r="E400" s="3" t="s">
        <v>210</v>
      </c>
      <c r="F400" s="3" t="s">
        <v>136</v>
      </c>
      <c r="G400" s="3" t="s">
        <v>102</v>
      </c>
      <c r="H400" s="4">
        <v>45341</v>
      </c>
      <c r="I400" s="7">
        <v>640</v>
      </c>
      <c r="J400" s="3" t="str">
        <f>IF(Sales[[#This Row],[Purchase Amount]]&gt;0,"Yes","No")</f>
        <v>Yes</v>
      </c>
    </row>
    <row r="401" spans="1:10" x14ac:dyDescent="0.2">
      <c r="A401" s="3" t="s">
        <v>860</v>
      </c>
      <c r="B401" s="3" t="s">
        <v>390</v>
      </c>
      <c r="C401" s="3" t="s">
        <v>391</v>
      </c>
      <c r="D401" s="3" t="s">
        <v>392</v>
      </c>
      <c r="E401" s="3" t="s">
        <v>118</v>
      </c>
      <c r="F401" s="3" t="s">
        <v>131</v>
      </c>
      <c r="G401" s="3" t="s">
        <v>99</v>
      </c>
      <c r="H401" s="4">
        <v>45341</v>
      </c>
      <c r="I401" s="7">
        <v>365</v>
      </c>
      <c r="J401" s="3" t="str">
        <f>IF(Sales[[#This Row],[Purchase Amount]]&gt;0,"Yes","No")</f>
        <v>Yes</v>
      </c>
    </row>
    <row r="402" spans="1:10" x14ac:dyDescent="0.2">
      <c r="A402" s="3" t="s">
        <v>861</v>
      </c>
      <c r="B402" s="3" t="s">
        <v>91</v>
      </c>
      <c r="C402" s="3" t="s">
        <v>133</v>
      </c>
      <c r="D402" s="3" t="s">
        <v>134</v>
      </c>
      <c r="E402" s="3" t="s">
        <v>135</v>
      </c>
      <c r="F402" s="3" t="s">
        <v>481</v>
      </c>
      <c r="G402" s="3" t="s">
        <v>101</v>
      </c>
      <c r="H402" s="4">
        <v>45341</v>
      </c>
      <c r="I402" s="7">
        <v>420</v>
      </c>
      <c r="J402" s="3" t="str">
        <f>IF(Sales[[#This Row],[Purchase Amount]]&gt;0,"Yes","No")</f>
        <v>Yes</v>
      </c>
    </row>
    <row r="403" spans="1:10" x14ac:dyDescent="0.2">
      <c r="A403" s="3" t="s">
        <v>862</v>
      </c>
      <c r="B403" s="3" t="s">
        <v>252</v>
      </c>
      <c r="C403" s="3" t="s">
        <v>253</v>
      </c>
      <c r="D403" s="3" t="s">
        <v>254</v>
      </c>
      <c r="E403" s="3" t="s">
        <v>210</v>
      </c>
      <c r="F403" s="3" t="s">
        <v>136</v>
      </c>
      <c r="G403" s="3" t="s">
        <v>101</v>
      </c>
      <c r="H403" s="4">
        <v>45342</v>
      </c>
      <c r="I403" s="7"/>
      <c r="J403" s="3" t="str">
        <f>IF(Sales[[#This Row],[Purchase Amount]]&gt;0,"Yes","No")</f>
        <v>No</v>
      </c>
    </row>
    <row r="404" spans="1:10" x14ac:dyDescent="0.2">
      <c r="A404" s="3" t="s">
        <v>863</v>
      </c>
      <c r="B404" s="3" t="s">
        <v>381</v>
      </c>
      <c r="C404" s="3" t="s">
        <v>382</v>
      </c>
      <c r="D404" s="3" t="s">
        <v>383</v>
      </c>
      <c r="E404" s="3" t="s">
        <v>151</v>
      </c>
      <c r="F404" s="3" t="s">
        <v>260</v>
      </c>
      <c r="G404" s="3" t="s">
        <v>100</v>
      </c>
      <c r="H404" s="4">
        <v>45342</v>
      </c>
      <c r="I404" s="7"/>
      <c r="J404" s="3" t="str">
        <f>IF(Sales[[#This Row],[Purchase Amount]]&gt;0,"Yes","No")</f>
        <v>No</v>
      </c>
    </row>
    <row r="405" spans="1:10" x14ac:dyDescent="0.2">
      <c r="A405" s="3" t="s">
        <v>864</v>
      </c>
      <c r="B405" s="3" t="s">
        <v>121</v>
      </c>
      <c r="C405" s="3" t="s">
        <v>122</v>
      </c>
      <c r="D405" s="3" t="s">
        <v>123</v>
      </c>
      <c r="E405" s="3" t="s">
        <v>124</v>
      </c>
      <c r="F405" s="3" t="s">
        <v>583</v>
      </c>
      <c r="G405" s="3" t="s">
        <v>101</v>
      </c>
      <c r="H405" s="4">
        <v>45342</v>
      </c>
      <c r="I405" s="7">
        <v>325</v>
      </c>
      <c r="J405" s="3" t="str">
        <f>IF(Sales[[#This Row],[Purchase Amount]]&gt;0,"Yes","No")</f>
        <v>Yes</v>
      </c>
    </row>
    <row r="406" spans="1:10" x14ac:dyDescent="0.2">
      <c r="A406" s="3" t="s">
        <v>865</v>
      </c>
      <c r="B406" s="3" t="s">
        <v>561</v>
      </c>
      <c r="C406" s="3" t="s">
        <v>562</v>
      </c>
      <c r="D406" s="3" t="s">
        <v>563</v>
      </c>
      <c r="E406" s="3" t="s">
        <v>118</v>
      </c>
      <c r="F406" s="3" t="s">
        <v>604</v>
      </c>
      <c r="G406" s="3" t="s">
        <v>102</v>
      </c>
      <c r="H406" s="4">
        <v>45343</v>
      </c>
      <c r="I406" s="7">
        <v>1300</v>
      </c>
      <c r="J406" s="3" t="str">
        <f>IF(Sales[[#This Row],[Purchase Amount]]&gt;0,"Yes","No")</f>
        <v>Yes</v>
      </c>
    </row>
    <row r="407" spans="1:10" x14ac:dyDescent="0.2">
      <c r="A407" s="3" t="s">
        <v>866</v>
      </c>
      <c r="B407" s="3" t="s">
        <v>555</v>
      </c>
      <c r="C407" s="3" t="s">
        <v>556</v>
      </c>
      <c r="D407" s="3" t="s">
        <v>557</v>
      </c>
      <c r="E407" s="3" t="s">
        <v>172</v>
      </c>
      <c r="F407" s="3" t="s">
        <v>411</v>
      </c>
      <c r="G407" s="3" t="s">
        <v>102</v>
      </c>
      <c r="H407" s="4">
        <v>45343</v>
      </c>
      <c r="I407" s="7">
        <v>270</v>
      </c>
      <c r="J407" s="3" t="str">
        <f>IF(Sales[[#This Row],[Purchase Amount]]&gt;0,"Yes","No")</f>
        <v>Yes</v>
      </c>
    </row>
    <row r="408" spans="1:10" x14ac:dyDescent="0.2">
      <c r="A408" s="3" t="s">
        <v>867</v>
      </c>
      <c r="B408" s="3" t="s">
        <v>414</v>
      </c>
      <c r="C408" s="3" t="s">
        <v>415</v>
      </c>
      <c r="D408" s="3" t="s">
        <v>416</v>
      </c>
      <c r="E408" s="3" t="s">
        <v>118</v>
      </c>
      <c r="F408" s="3" t="s">
        <v>309</v>
      </c>
      <c r="G408" s="3" t="s">
        <v>100</v>
      </c>
      <c r="H408" s="4">
        <v>45344</v>
      </c>
      <c r="I408" s="7"/>
      <c r="J408" s="3" t="str">
        <f>IF(Sales[[#This Row],[Purchase Amount]]&gt;0,"Yes","No")</f>
        <v>No</v>
      </c>
    </row>
    <row r="409" spans="1:10" x14ac:dyDescent="0.2">
      <c r="A409" s="3" t="s">
        <v>868</v>
      </c>
      <c r="B409" s="3" t="s">
        <v>185</v>
      </c>
      <c r="C409" s="3" t="s">
        <v>186</v>
      </c>
      <c r="D409" s="3" t="s">
        <v>187</v>
      </c>
      <c r="E409" s="3" t="s">
        <v>151</v>
      </c>
      <c r="F409" s="3" t="s">
        <v>529</v>
      </c>
      <c r="G409" s="3" t="s">
        <v>102</v>
      </c>
      <c r="H409" s="4">
        <v>45344</v>
      </c>
      <c r="I409" s="7">
        <v>975</v>
      </c>
      <c r="J409" s="3" t="str">
        <f>IF(Sales[[#This Row],[Purchase Amount]]&gt;0,"Yes","No")</f>
        <v>Yes</v>
      </c>
    </row>
    <row r="410" spans="1:10" x14ac:dyDescent="0.2">
      <c r="A410" s="3" t="s">
        <v>869</v>
      </c>
      <c r="B410" s="3" t="s">
        <v>159</v>
      </c>
      <c r="C410" s="3" t="s">
        <v>160</v>
      </c>
      <c r="D410" s="3" t="s">
        <v>161</v>
      </c>
      <c r="E410" s="3" t="s">
        <v>130</v>
      </c>
      <c r="F410" s="3" t="s">
        <v>255</v>
      </c>
      <c r="G410" s="3" t="s">
        <v>102</v>
      </c>
      <c r="H410" s="4">
        <v>45344</v>
      </c>
      <c r="I410" s="7">
        <v>415</v>
      </c>
      <c r="J410" s="3" t="str">
        <f>IF(Sales[[#This Row],[Purchase Amount]]&gt;0,"Yes","No")</f>
        <v>Yes</v>
      </c>
    </row>
    <row r="411" spans="1:10" x14ac:dyDescent="0.2">
      <c r="A411" s="3" t="s">
        <v>870</v>
      </c>
      <c r="B411" s="3" t="s">
        <v>394</v>
      </c>
      <c r="C411" s="3" t="s">
        <v>395</v>
      </c>
      <c r="D411" s="3" t="s">
        <v>396</v>
      </c>
      <c r="E411" s="3" t="s">
        <v>118</v>
      </c>
      <c r="F411" s="3" t="s">
        <v>341</v>
      </c>
      <c r="G411" s="3" t="s">
        <v>100</v>
      </c>
      <c r="H411" s="4">
        <v>45344</v>
      </c>
      <c r="I411" s="7">
        <v>935</v>
      </c>
      <c r="J411" s="3" t="str">
        <f>IF(Sales[[#This Row],[Purchase Amount]]&gt;0,"Yes","No")</f>
        <v>Yes</v>
      </c>
    </row>
    <row r="412" spans="1:10" x14ac:dyDescent="0.2">
      <c r="A412" s="3" t="s">
        <v>871</v>
      </c>
      <c r="B412" s="3" t="s">
        <v>462</v>
      </c>
      <c r="C412" s="3" t="s">
        <v>463</v>
      </c>
      <c r="D412" s="3" t="s">
        <v>464</v>
      </c>
      <c r="E412" s="3" t="s">
        <v>198</v>
      </c>
      <c r="F412" s="3" t="s">
        <v>250</v>
      </c>
      <c r="G412" s="3" t="s">
        <v>101</v>
      </c>
      <c r="H412" s="4">
        <v>45344</v>
      </c>
      <c r="I412" s="7">
        <v>185</v>
      </c>
      <c r="J412" s="3" t="str">
        <f>IF(Sales[[#This Row],[Purchase Amount]]&gt;0,"Yes","No")</f>
        <v>Yes</v>
      </c>
    </row>
    <row r="413" spans="1:10" x14ac:dyDescent="0.2">
      <c r="A413" s="3" t="s">
        <v>872</v>
      </c>
      <c r="B413" s="3" t="s">
        <v>371</v>
      </c>
      <c r="C413" s="3" t="s">
        <v>372</v>
      </c>
      <c r="D413" s="3" t="s">
        <v>373</v>
      </c>
      <c r="E413" s="3" t="s">
        <v>374</v>
      </c>
      <c r="F413" s="3" t="s">
        <v>512</v>
      </c>
      <c r="G413" s="3" t="s">
        <v>102</v>
      </c>
      <c r="H413" s="4">
        <v>45344</v>
      </c>
      <c r="I413" s="7">
        <v>395</v>
      </c>
      <c r="J413" s="3" t="str">
        <f>IF(Sales[[#This Row],[Purchase Amount]]&gt;0,"Yes","No")</f>
        <v>Yes</v>
      </c>
    </row>
    <row r="414" spans="1:10" x14ac:dyDescent="0.2">
      <c r="A414" s="3" t="s">
        <v>873</v>
      </c>
      <c r="B414" s="3" t="s">
        <v>488</v>
      </c>
      <c r="C414" s="3" t="s">
        <v>489</v>
      </c>
      <c r="D414" s="3" t="s">
        <v>490</v>
      </c>
      <c r="E414" s="3" t="s">
        <v>210</v>
      </c>
      <c r="F414" s="3" t="s">
        <v>406</v>
      </c>
      <c r="G414" s="3" t="s">
        <v>102</v>
      </c>
      <c r="H414" s="4">
        <v>45345</v>
      </c>
      <c r="I414" s="7">
        <v>10</v>
      </c>
      <c r="J414" s="3" t="str">
        <f>IF(Sales[[#This Row],[Purchase Amount]]&gt;0,"Yes","No")</f>
        <v>Yes</v>
      </c>
    </row>
    <row r="415" spans="1:10" x14ac:dyDescent="0.2">
      <c r="A415" s="3" t="s">
        <v>874</v>
      </c>
      <c r="B415" s="3" t="s">
        <v>743</v>
      </c>
      <c r="C415" s="3" t="s">
        <v>744</v>
      </c>
      <c r="D415" s="3" t="s">
        <v>745</v>
      </c>
      <c r="E415" s="3" t="s">
        <v>130</v>
      </c>
      <c r="F415" s="3" t="s">
        <v>320</v>
      </c>
      <c r="G415" s="3" t="s">
        <v>102</v>
      </c>
      <c r="H415" s="4">
        <v>45345</v>
      </c>
      <c r="I415" s="7">
        <v>1550</v>
      </c>
      <c r="J415" s="3" t="str">
        <f>IF(Sales[[#This Row],[Purchase Amount]]&gt;0,"Yes","No")</f>
        <v>Yes</v>
      </c>
    </row>
    <row r="416" spans="1:10" x14ac:dyDescent="0.2">
      <c r="A416" s="3" t="s">
        <v>875</v>
      </c>
      <c r="B416" s="3" t="s">
        <v>531</v>
      </c>
      <c r="C416" s="3" t="s">
        <v>532</v>
      </c>
      <c r="D416" s="3" t="s">
        <v>533</v>
      </c>
      <c r="E416" s="3" t="s">
        <v>124</v>
      </c>
      <c r="F416" s="3" t="s">
        <v>225</v>
      </c>
      <c r="G416" s="3" t="s">
        <v>101</v>
      </c>
      <c r="H416" s="4">
        <v>45345</v>
      </c>
      <c r="I416" s="7">
        <v>10</v>
      </c>
      <c r="J416" s="3" t="str">
        <f>IF(Sales[[#This Row],[Purchase Amount]]&gt;0,"Yes","No")</f>
        <v>Yes</v>
      </c>
    </row>
    <row r="417" spans="1:10" x14ac:dyDescent="0.2">
      <c r="A417" s="3" t="s">
        <v>876</v>
      </c>
      <c r="B417" s="3" t="s">
        <v>358</v>
      </c>
      <c r="C417" s="3" t="s">
        <v>359</v>
      </c>
      <c r="D417" s="3" t="s">
        <v>360</v>
      </c>
      <c r="E417" s="3" t="s">
        <v>335</v>
      </c>
      <c r="F417" s="3" t="s">
        <v>529</v>
      </c>
      <c r="G417" s="3" t="s">
        <v>102</v>
      </c>
      <c r="H417" s="4">
        <v>45345</v>
      </c>
      <c r="I417" s="7">
        <v>60</v>
      </c>
      <c r="J417" s="3" t="str">
        <f>IF(Sales[[#This Row],[Purchase Amount]]&gt;0,"Yes","No")</f>
        <v>Yes</v>
      </c>
    </row>
    <row r="418" spans="1:10" x14ac:dyDescent="0.2">
      <c r="A418" s="3" t="s">
        <v>877</v>
      </c>
      <c r="B418" s="3" t="s">
        <v>305</v>
      </c>
      <c r="C418" s="3" t="s">
        <v>306</v>
      </c>
      <c r="D418" s="3" t="s">
        <v>307</v>
      </c>
      <c r="E418" s="3" t="s">
        <v>130</v>
      </c>
      <c r="F418" s="3" t="s">
        <v>136</v>
      </c>
      <c r="G418" s="3" t="s">
        <v>100</v>
      </c>
      <c r="H418" s="4">
        <v>45345</v>
      </c>
      <c r="I418" s="7">
        <v>570</v>
      </c>
      <c r="J418" s="3" t="str">
        <f>IF(Sales[[#This Row],[Purchase Amount]]&gt;0,"Yes","No")</f>
        <v>Yes</v>
      </c>
    </row>
    <row r="419" spans="1:10" x14ac:dyDescent="0.2">
      <c r="A419" s="3" t="s">
        <v>878</v>
      </c>
      <c r="B419" s="3" t="s">
        <v>327</v>
      </c>
      <c r="C419" s="3" t="s">
        <v>328</v>
      </c>
      <c r="D419" s="3" t="s">
        <v>329</v>
      </c>
      <c r="E419" s="3" t="s">
        <v>135</v>
      </c>
      <c r="F419" s="3" t="s">
        <v>231</v>
      </c>
      <c r="G419" s="3" t="s">
        <v>102</v>
      </c>
      <c r="H419" s="4">
        <v>45346</v>
      </c>
      <c r="I419" s="7"/>
      <c r="J419" s="3" t="str">
        <f>IF(Sales[[#This Row],[Purchase Amount]]&gt;0,"Yes","No")</f>
        <v>No</v>
      </c>
    </row>
    <row r="420" spans="1:10" x14ac:dyDescent="0.2">
      <c r="A420" s="3" t="s">
        <v>879</v>
      </c>
      <c r="B420" s="3" t="s">
        <v>423</v>
      </c>
      <c r="C420" s="3" t="s">
        <v>424</v>
      </c>
      <c r="D420" s="3" t="s">
        <v>425</v>
      </c>
      <c r="E420" s="3" t="s">
        <v>151</v>
      </c>
      <c r="F420" s="3" t="s">
        <v>748</v>
      </c>
      <c r="G420" s="3" t="s">
        <v>102</v>
      </c>
      <c r="H420" s="4">
        <v>45346</v>
      </c>
      <c r="I420" s="7">
        <v>1490</v>
      </c>
      <c r="J420" s="3" t="str">
        <f>IF(Sales[[#This Row],[Purchase Amount]]&gt;0,"Yes","No")</f>
        <v>Yes</v>
      </c>
    </row>
    <row r="421" spans="1:10" x14ac:dyDescent="0.2">
      <c r="A421" s="3" t="s">
        <v>880</v>
      </c>
      <c r="B421" s="3" t="s">
        <v>423</v>
      </c>
      <c r="C421" s="3" t="s">
        <v>424</v>
      </c>
      <c r="D421" s="3" t="s">
        <v>425</v>
      </c>
      <c r="E421" s="3" t="s">
        <v>151</v>
      </c>
      <c r="F421" s="3" t="s">
        <v>152</v>
      </c>
      <c r="G421" s="3" t="s">
        <v>100</v>
      </c>
      <c r="H421" s="4">
        <v>45346</v>
      </c>
      <c r="I421" s="7">
        <v>950</v>
      </c>
      <c r="J421" s="3" t="str">
        <f>IF(Sales[[#This Row],[Purchase Amount]]&gt;0,"Yes","No")</f>
        <v>Yes</v>
      </c>
    </row>
    <row r="422" spans="1:10" x14ac:dyDescent="0.2">
      <c r="A422" s="3" t="s">
        <v>881</v>
      </c>
      <c r="B422" s="3" t="s">
        <v>671</v>
      </c>
      <c r="C422" s="3" t="s">
        <v>672</v>
      </c>
      <c r="D422" s="3" t="s">
        <v>673</v>
      </c>
      <c r="E422" s="3" t="s">
        <v>135</v>
      </c>
      <c r="F422" s="3" t="s">
        <v>336</v>
      </c>
      <c r="G422" s="3" t="s">
        <v>102</v>
      </c>
      <c r="H422" s="4">
        <v>45346</v>
      </c>
      <c r="I422" s="7">
        <v>370</v>
      </c>
      <c r="J422" s="3" t="str">
        <f>IF(Sales[[#This Row],[Purchase Amount]]&gt;0,"Yes","No")</f>
        <v>Yes</v>
      </c>
    </row>
    <row r="423" spans="1:10" x14ac:dyDescent="0.2">
      <c r="A423" s="3" t="s">
        <v>882</v>
      </c>
      <c r="B423" s="3" t="s">
        <v>287</v>
      </c>
      <c r="C423" s="3" t="s">
        <v>288</v>
      </c>
      <c r="D423" s="3" t="s">
        <v>289</v>
      </c>
      <c r="E423" s="3" t="s">
        <v>151</v>
      </c>
      <c r="F423" s="3" t="s">
        <v>136</v>
      </c>
      <c r="G423" s="3" t="s">
        <v>99</v>
      </c>
      <c r="H423" s="4">
        <v>45346</v>
      </c>
      <c r="I423" s="7">
        <v>1075</v>
      </c>
      <c r="J423" s="3" t="str">
        <f>IF(Sales[[#This Row],[Purchase Amount]]&gt;0,"Yes","No")</f>
        <v>Yes</v>
      </c>
    </row>
    <row r="424" spans="1:10" x14ac:dyDescent="0.2">
      <c r="A424" s="3" t="s">
        <v>883</v>
      </c>
      <c r="B424" s="3" t="s">
        <v>121</v>
      </c>
      <c r="C424" s="3" t="s">
        <v>122</v>
      </c>
      <c r="D424" s="3" t="s">
        <v>123</v>
      </c>
      <c r="E424" s="3" t="s">
        <v>124</v>
      </c>
      <c r="F424" s="3" t="s">
        <v>294</v>
      </c>
      <c r="G424" s="3" t="s">
        <v>101</v>
      </c>
      <c r="H424" s="4">
        <v>45347</v>
      </c>
      <c r="I424" s="7">
        <v>310</v>
      </c>
      <c r="J424" s="3" t="str">
        <f>IF(Sales[[#This Row],[Purchase Amount]]&gt;0,"Yes","No")</f>
        <v>Yes</v>
      </c>
    </row>
    <row r="425" spans="1:10" x14ac:dyDescent="0.2">
      <c r="A425" s="3" t="s">
        <v>884</v>
      </c>
      <c r="B425" s="3" t="s">
        <v>467</v>
      </c>
      <c r="C425" s="3" t="s">
        <v>468</v>
      </c>
      <c r="D425" s="3" t="s">
        <v>469</v>
      </c>
      <c r="E425" s="3" t="s">
        <v>118</v>
      </c>
      <c r="F425" s="3" t="s">
        <v>604</v>
      </c>
      <c r="G425" s="3" t="s">
        <v>101</v>
      </c>
      <c r="H425" s="4">
        <v>45348</v>
      </c>
      <c r="I425" s="7"/>
      <c r="J425" s="3" t="str">
        <f>IF(Sales[[#This Row],[Purchase Amount]]&gt;0,"Yes","No")</f>
        <v>No</v>
      </c>
    </row>
    <row r="426" spans="1:10" x14ac:dyDescent="0.2">
      <c r="A426" s="3" t="s">
        <v>885</v>
      </c>
      <c r="B426" s="3" t="s">
        <v>234</v>
      </c>
      <c r="C426" s="3" t="s">
        <v>235</v>
      </c>
      <c r="D426" s="3" t="s">
        <v>236</v>
      </c>
      <c r="E426" s="3" t="s">
        <v>118</v>
      </c>
      <c r="F426" s="3" t="s">
        <v>231</v>
      </c>
      <c r="G426" s="3" t="s">
        <v>102</v>
      </c>
      <c r="H426" s="4">
        <v>45348</v>
      </c>
      <c r="I426" s="7">
        <v>750</v>
      </c>
      <c r="J426" s="3" t="str">
        <f>IF(Sales[[#This Row],[Purchase Amount]]&gt;0,"Yes","No")</f>
        <v>Yes</v>
      </c>
    </row>
    <row r="427" spans="1:10" x14ac:dyDescent="0.2">
      <c r="A427" s="3" t="s">
        <v>886</v>
      </c>
      <c r="B427" s="3" t="s">
        <v>305</v>
      </c>
      <c r="C427" s="3" t="s">
        <v>306</v>
      </c>
      <c r="D427" s="3" t="s">
        <v>307</v>
      </c>
      <c r="E427" s="3" t="s">
        <v>130</v>
      </c>
      <c r="F427" s="3" t="s">
        <v>225</v>
      </c>
      <c r="G427" s="3" t="s">
        <v>100</v>
      </c>
      <c r="H427" s="4">
        <v>45348</v>
      </c>
      <c r="I427" s="7">
        <v>85</v>
      </c>
      <c r="J427" s="3" t="str">
        <f>IF(Sales[[#This Row],[Purchase Amount]]&gt;0,"Yes","No")</f>
        <v>Yes</v>
      </c>
    </row>
    <row r="428" spans="1:10" x14ac:dyDescent="0.2">
      <c r="A428" s="3" t="s">
        <v>887</v>
      </c>
      <c r="B428" s="3" t="s">
        <v>538</v>
      </c>
      <c r="C428" s="3" t="s">
        <v>539</v>
      </c>
      <c r="D428" s="3" t="s">
        <v>540</v>
      </c>
      <c r="E428" s="3" t="s">
        <v>118</v>
      </c>
      <c r="F428" s="3" t="s">
        <v>549</v>
      </c>
      <c r="G428" s="3" t="s">
        <v>102</v>
      </c>
      <c r="H428" s="4">
        <v>45348</v>
      </c>
      <c r="I428" s="7">
        <v>375</v>
      </c>
      <c r="J428" s="3" t="str">
        <f>IF(Sales[[#This Row],[Purchase Amount]]&gt;0,"Yes","No")</f>
        <v>Yes</v>
      </c>
    </row>
    <row r="429" spans="1:10" x14ac:dyDescent="0.2">
      <c r="A429" s="3" t="s">
        <v>888</v>
      </c>
      <c r="B429" s="3" t="s">
        <v>735</v>
      </c>
      <c r="C429" s="3" t="s">
        <v>736</v>
      </c>
      <c r="D429" s="3" t="s">
        <v>737</v>
      </c>
      <c r="E429" s="3" t="s">
        <v>374</v>
      </c>
      <c r="F429" s="3" t="s">
        <v>136</v>
      </c>
      <c r="G429" s="3" t="s">
        <v>101</v>
      </c>
      <c r="H429" s="4">
        <v>45348</v>
      </c>
      <c r="I429" s="7">
        <v>1010</v>
      </c>
      <c r="J429" s="3" t="str">
        <f>IF(Sales[[#This Row],[Purchase Amount]]&gt;0,"Yes","No")</f>
        <v>Yes</v>
      </c>
    </row>
    <row r="430" spans="1:10" x14ac:dyDescent="0.2">
      <c r="A430" s="3" t="s">
        <v>889</v>
      </c>
      <c r="B430" s="3" t="s">
        <v>180</v>
      </c>
      <c r="C430" s="3" t="s">
        <v>181</v>
      </c>
      <c r="D430" s="3" t="s">
        <v>182</v>
      </c>
      <c r="E430" s="3" t="s">
        <v>124</v>
      </c>
      <c r="F430" s="3" t="s">
        <v>157</v>
      </c>
      <c r="G430" s="3" t="s">
        <v>102</v>
      </c>
      <c r="H430" s="4">
        <v>45348</v>
      </c>
      <c r="I430" s="7">
        <v>315</v>
      </c>
      <c r="J430" s="3" t="str">
        <f>IF(Sales[[#This Row],[Purchase Amount]]&gt;0,"Yes","No")</f>
        <v>Yes</v>
      </c>
    </row>
    <row r="431" spans="1:10" x14ac:dyDescent="0.2">
      <c r="A431" s="3" t="s">
        <v>890</v>
      </c>
      <c r="B431" s="3" t="s">
        <v>492</v>
      </c>
      <c r="C431" s="3" t="s">
        <v>493</v>
      </c>
      <c r="D431" s="3" t="s">
        <v>494</v>
      </c>
      <c r="E431" s="3" t="s">
        <v>130</v>
      </c>
      <c r="F431" s="3" t="s">
        <v>388</v>
      </c>
      <c r="G431" s="3" t="s">
        <v>102</v>
      </c>
      <c r="H431" s="4">
        <v>45349</v>
      </c>
      <c r="I431" s="7"/>
      <c r="J431" s="3" t="str">
        <f>IF(Sales[[#This Row],[Purchase Amount]]&gt;0,"Yes","No")</f>
        <v>No</v>
      </c>
    </row>
    <row r="432" spans="1:10" x14ac:dyDescent="0.2">
      <c r="A432" s="3" t="s">
        <v>891</v>
      </c>
      <c r="B432" s="3" t="s">
        <v>427</v>
      </c>
      <c r="C432" s="3" t="s">
        <v>428</v>
      </c>
      <c r="D432" s="3" t="s">
        <v>429</v>
      </c>
      <c r="E432" s="3" t="s">
        <v>135</v>
      </c>
      <c r="F432" s="3" t="s">
        <v>650</v>
      </c>
      <c r="G432" s="3" t="s">
        <v>102</v>
      </c>
      <c r="H432" s="4">
        <v>45349</v>
      </c>
      <c r="I432" s="7"/>
      <c r="J432" s="3" t="str">
        <f>IF(Sales[[#This Row],[Purchase Amount]]&gt;0,"Yes","No")</f>
        <v>No</v>
      </c>
    </row>
    <row r="433" spans="1:10" x14ac:dyDescent="0.2">
      <c r="A433" s="3" t="s">
        <v>892</v>
      </c>
      <c r="B433" s="3" t="s">
        <v>234</v>
      </c>
      <c r="C433" s="3" t="s">
        <v>235</v>
      </c>
      <c r="D433" s="3" t="s">
        <v>236</v>
      </c>
      <c r="E433" s="3" t="s">
        <v>118</v>
      </c>
      <c r="F433" s="3" t="s">
        <v>341</v>
      </c>
      <c r="G433" s="3" t="s">
        <v>101</v>
      </c>
      <c r="H433" s="4">
        <v>45349</v>
      </c>
      <c r="I433" s="7"/>
      <c r="J433" s="3" t="str">
        <f>IF(Sales[[#This Row],[Purchase Amount]]&gt;0,"Yes","No")</f>
        <v>No</v>
      </c>
    </row>
    <row r="434" spans="1:10" x14ac:dyDescent="0.2">
      <c r="A434" s="3" t="s">
        <v>893</v>
      </c>
      <c r="B434" s="3" t="s">
        <v>499</v>
      </c>
      <c r="C434" s="3" t="s">
        <v>500</v>
      </c>
      <c r="D434" s="3" t="s">
        <v>501</v>
      </c>
      <c r="E434" s="3" t="s">
        <v>172</v>
      </c>
      <c r="F434" s="3" t="s">
        <v>406</v>
      </c>
      <c r="G434" s="3" t="s">
        <v>100</v>
      </c>
      <c r="H434" s="4">
        <v>45349</v>
      </c>
      <c r="I434" s="7">
        <v>65</v>
      </c>
      <c r="J434" s="3" t="str">
        <f>IF(Sales[[#This Row],[Purchase Amount]]&gt;0,"Yes","No")</f>
        <v>Yes</v>
      </c>
    </row>
    <row r="435" spans="1:10" x14ac:dyDescent="0.2">
      <c r="A435" s="3" t="s">
        <v>894</v>
      </c>
      <c r="B435" s="3" t="s">
        <v>423</v>
      </c>
      <c r="C435" s="3" t="s">
        <v>424</v>
      </c>
      <c r="D435" s="3" t="s">
        <v>425</v>
      </c>
      <c r="E435" s="3" t="s">
        <v>151</v>
      </c>
      <c r="F435" s="3" t="s">
        <v>167</v>
      </c>
      <c r="G435" s="3" t="s">
        <v>100</v>
      </c>
      <c r="H435" s="4">
        <v>45349</v>
      </c>
      <c r="I435" s="7">
        <v>975</v>
      </c>
      <c r="J435" s="3" t="str">
        <f>IF(Sales[[#This Row],[Purchase Amount]]&gt;0,"Yes","No")</f>
        <v>Yes</v>
      </c>
    </row>
    <row r="436" spans="1:10" x14ac:dyDescent="0.2">
      <c r="A436" s="3" t="s">
        <v>895</v>
      </c>
      <c r="B436" s="3" t="s">
        <v>138</v>
      </c>
      <c r="C436" s="3" t="s">
        <v>139</v>
      </c>
      <c r="D436" s="3" t="s">
        <v>140</v>
      </c>
      <c r="E436" s="3" t="s">
        <v>135</v>
      </c>
      <c r="F436" s="3" t="s">
        <v>431</v>
      </c>
      <c r="G436" s="3" t="s">
        <v>100</v>
      </c>
      <c r="H436" s="4">
        <v>45349</v>
      </c>
      <c r="I436" s="7">
        <v>370</v>
      </c>
      <c r="J436" s="3" t="str">
        <f>IF(Sales[[#This Row],[Purchase Amount]]&gt;0,"Yes","No")</f>
        <v>Yes</v>
      </c>
    </row>
    <row r="437" spans="1:10" x14ac:dyDescent="0.2">
      <c r="A437" s="3" t="s">
        <v>896</v>
      </c>
      <c r="B437" s="3" t="s">
        <v>419</v>
      </c>
      <c r="C437" s="3" t="s">
        <v>420</v>
      </c>
      <c r="D437" s="3" t="s">
        <v>421</v>
      </c>
      <c r="E437" s="3" t="s">
        <v>244</v>
      </c>
      <c r="F437" s="3" t="s">
        <v>178</v>
      </c>
      <c r="G437" s="3" t="s">
        <v>102</v>
      </c>
      <c r="H437" s="4">
        <v>45349</v>
      </c>
      <c r="I437" s="7">
        <v>480</v>
      </c>
      <c r="J437" s="3" t="str">
        <f>IF(Sales[[#This Row],[Purchase Amount]]&gt;0,"Yes","No")</f>
        <v>Yes</v>
      </c>
    </row>
    <row r="438" spans="1:10" x14ac:dyDescent="0.2">
      <c r="A438" s="3" t="s">
        <v>897</v>
      </c>
      <c r="B438" s="3" t="s">
        <v>371</v>
      </c>
      <c r="C438" s="3" t="s">
        <v>372</v>
      </c>
      <c r="D438" s="3" t="s">
        <v>373</v>
      </c>
      <c r="E438" s="3" t="s">
        <v>374</v>
      </c>
      <c r="F438" s="3" t="s">
        <v>141</v>
      </c>
      <c r="G438" s="3" t="s">
        <v>101</v>
      </c>
      <c r="H438" s="4">
        <v>45349</v>
      </c>
      <c r="I438" s="7">
        <v>180</v>
      </c>
      <c r="J438" s="3" t="str">
        <f>IF(Sales[[#This Row],[Purchase Amount]]&gt;0,"Yes","No")</f>
        <v>Yes</v>
      </c>
    </row>
    <row r="439" spans="1:10" x14ac:dyDescent="0.2">
      <c r="A439" s="3" t="s">
        <v>898</v>
      </c>
      <c r="B439" s="3" t="s">
        <v>456</v>
      </c>
      <c r="C439" s="3" t="s">
        <v>457</v>
      </c>
      <c r="D439" s="3" t="s">
        <v>458</v>
      </c>
      <c r="E439" s="3" t="s">
        <v>130</v>
      </c>
      <c r="F439" s="3" t="s">
        <v>356</v>
      </c>
      <c r="G439" s="3" t="s">
        <v>100</v>
      </c>
      <c r="H439" s="4">
        <v>45350</v>
      </c>
      <c r="I439" s="7"/>
      <c r="J439" s="3" t="str">
        <f>IF(Sales[[#This Row],[Purchase Amount]]&gt;0,"Yes","No")</f>
        <v>No</v>
      </c>
    </row>
    <row r="440" spans="1:10" x14ac:dyDescent="0.2">
      <c r="A440" s="3" t="s">
        <v>899</v>
      </c>
      <c r="B440" s="3" t="s">
        <v>390</v>
      </c>
      <c r="C440" s="3" t="s">
        <v>391</v>
      </c>
      <c r="D440" s="3" t="s">
        <v>392</v>
      </c>
      <c r="E440" s="3" t="s">
        <v>118</v>
      </c>
      <c r="F440" s="3" t="s">
        <v>512</v>
      </c>
      <c r="G440" s="3" t="s">
        <v>102</v>
      </c>
      <c r="H440" s="4">
        <v>45350</v>
      </c>
      <c r="I440" s="7"/>
      <c r="J440" s="3" t="str">
        <f>IF(Sales[[#This Row],[Purchase Amount]]&gt;0,"Yes","No")</f>
        <v>No</v>
      </c>
    </row>
    <row r="441" spans="1:10" x14ac:dyDescent="0.2">
      <c r="A441" s="3" t="s">
        <v>900</v>
      </c>
      <c r="B441" s="3" t="s">
        <v>402</v>
      </c>
      <c r="C441" s="3" t="s">
        <v>403</v>
      </c>
      <c r="D441" s="3" t="s">
        <v>404</v>
      </c>
      <c r="E441" s="3" t="s">
        <v>151</v>
      </c>
      <c r="F441" s="3" t="s">
        <v>549</v>
      </c>
      <c r="G441" s="3" t="s">
        <v>102</v>
      </c>
      <c r="H441" s="4">
        <v>45350</v>
      </c>
      <c r="I441" s="7">
        <v>470</v>
      </c>
      <c r="J441" s="3" t="str">
        <f>IF(Sales[[#This Row],[Purchase Amount]]&gt;0,"Yes","No")</f>
        <v>Yes</v>
      </c>
    </row>
    <row r="442" spans="1:10" x14ac:dyDescent="0.2">
      <c r="A442" s="3" t="s">
        <v>901</v>
      </c>
      <c r="B442" s="3" t="s">
        <v>423</v>
      </c>
      <c r="C442" s="3" t="s">
        <v>424</v>
      </c>
      <c r="D442" s="3" t="s">
        <v>425</v>
      </c>
      <c r="E442" s="3" t="s">
        <v>151</v>
      </c>
      <c r="F442" s="3" t="s">
        <v>260</v>
      </c>
      <c r="G442" s="3" t="s">
        <v>102</v>
      </c>
      <c r="H442" s="4">
        <v>45350</v>
      </c>
      <c r="I442" s="7">
        <v>1790</v>
      </c>
      <c r="J442" s="3" t="str">
        <f>IF(Sales[[#This Row],[Purchase Amount]]&gt;0,"Yes","No")</f>
        <v>Yes</v>
      </c>
    </row>
    <row r="443" spans="1:10" x14ac:dyDescent="0.2">
      <c r="A443" s="3" t="s">
        <v>902</v>
      </c>
      <c r="B443" s="3" t="s">
        <v>312</v>
      </c>
      <c r="C443" s="3" t="s">
        <v>313</v>
      </c>
      <c r="D443" s="3" t="s">
        <v>314</v>
      </c>
      <c r="E443" s="3" t="s">
        <v>135</v>
      </c>
      <c r="F443" s="3" t="s">
        <v>260</v>
      </c>
      <c r="G443" s="3" t="s">
        <v>100</v>
      </c>
      <c r="H443" s="4">
        <v>45350</v>
      </c>
      <c r="I443" s="7">
        <v>80</v>
      </c>
      <c r="J443" s="3" t="str">
        <f>IF(Sales[[#This Row],[Purchase Amount]]&gt;0,"Yes","No")</f>
        <v>Yes</v>
      </c>
    </row>
    <row r="444" spans="1:10" x14ac:dyDescent="0.2">
      <c r="A444" s="3" t="s">
        <v>903</v>
      </c>
      <c r="B444" s="3" t="s">
        <v>257</v>
      </c>
      <c r="C444" s="3" t="s">
        <v>258</v>
      </c>
      <c r="D444" s="3" t="s">
        <v>259</v>
      </c>
      <c r="E444" s="3" t="s">
        <v>244</v>
      </c>
      <c r="F444" s="3" t="s">
        <v>173</v>
      </c>
      <c r="G444" s="3" t="s">
        <v>102</v>
      </c>
      <c r="H444" s="4">
        <v>45350</v>
      </c>
      <c r="I444" s="7">
        <v>355</v>
      </c>
      <c r="J444" s="3" t="str">
        <f>IF(Sales[[#This Row],[Purchase Amount]]&gt;0,"Yes","No")</f>
        <v>Yes</v>
      </c>
    </row>
    <row r="445" spans="1:10" x14ac:dyDescent="0.2">
      <c r="A445" s="3" t="s">
        <v>904</v>
      </c>
      <c r="B445" s="3" t="s">
        <v>358</v>
      </c>
      <c r="C445" s="3" t="s">
        <v>359</v>
      </c>
      <c r="D445" s="3" t="s">
        <v>360</v>
      </c>
      <c r="E445" s="3" t="s">
        <v>335</v>
      </c>
      <c r="F445" s="3" t="s">
        <v>294</v>
      </c>
      <c r="G445" s="3" t="s">
        <v>99</v>
      </c>
      <c r="H445" s="4">
        <v>45350</v>
      </c>
      <c r="I445" s="7">
        <v>1135</v>
      </c>
      <c r="J445" s="3" t="str">
        <f>IF(Sales[[#This Row],[Purchase Amount]]&gt;0,"Yes","No")</f>
        <v>Yes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EFD0-038A-4BAE-9FE7-2A75105759BE}">
  <dimension ref="A1:B14"/>
  <sheetViews>
    <sheetView tabSelected="1" workbookViewId="0">
      <selection activeCell="F11" sqref="F11"/>
    </sheetView>
  </sheetViews>
  <sheetFormatPr defaultRowHeight="15" x14ac:dyDescent="0.2"/>
  <cols>
    <col min="1" max="1" width="19.234375" bestFit="1" customWidth="1"/>
    <col min="2" max="3" width="24.078125" bestFit="1" customWidth="1"/>
  </cols>
  <sheetData>
    <row r="1" spans="1:2" x14ac:dyDescent="0.2">
      <c r="A1" s="8" t="s">
        <v>111</v>
      </c>
      <c r="B1" t="s">
        <v>2</v>
      </c>
    </row>
    <row r="2" spans="1:2" x14ac:dyDescent="0.2">
      <c r="A2" t="s">
        <v>198</v>
      </c>
      <c r="B2" s="16">
        <v>2105</v>
      </c>
    </row>
    <row r="3" spans="1:2" x14ac:dyDescent="0.2">
      <c r="A3" t="s">
        <v>124</v>
      </c>
      <c r="B3" s="16">
        <v>9475</v>
      </c>
    </row>
    <row r="4" spans="1:2" x14ac:dyDescent="0.2">
      <c r="A4" t="s">
        <v>210</v>
      </c>
      <c r="B4" s="16">
        <v>2930</v>
      </c>
    </row>
    <row r="5" spans="1:2" x14ac:dyDescent="0.2">
      <c r="A5" t="s">
        <v>135</v>
      </c>
      <c r="B5" s="16">
        <v>8465</v>
      </c>
    </row>
    <row r="6" spans="1:2" x14ac:dyDescent="0.2">
      <c r="A6" t="s">
        <v>192</v>
      </c>
      <c r="B6" s="16">
        <v>2695</v>
      </c>
    </row>
    <row r="7" spans="1:2" x14ac:dyDescent="0.2">
      <c r="A7" t="s">
        <v>244</v>
      </c>
      <c r="B7" s="16">
        <v>3980</v>
      </c>
    </row>
    <row r="8" spans="1:2" x14ac:dyDescent="0.2">
      <c r="A8" t="s">
        <v>118</v>
      </c>
      <c r="B8" s="16">
        <v>8065</v>
      </c>
    </row>
    <row r="9" spans="1:2" x14ac:dyDescent="0.2">
      <c r="A9" t="s">
        <v>151</v>
      </c>
      <c r="B9" s="16">
        <v>7520</v>
      </c>
    </row>
    <row r="10" spans="1:2" x14ac:dyDescent="0.2">
      <c r="A10" t="s">
        <v>130</v>
      </c>
      <c r="B10" s="16">
        <v>5635</v>
      </c>
    </row>
    <row r="11" spans="1:2" x14ac:dyDescent="0.2">
      <c r="A11" t="s">
        <v>335</v>
      </c>
      <c r="B11" s="16">
        <v>1825</v>
      </c>
    </row>
    <row r="12" spans="1:2" x14ac:dyDescent="0.2">
      <c r="A12" t="s">
        <v>172</v>
      </c>
      <c r="B12" s="16">
        <v>4605</v>
      </c>
    </row>
    <row r="13" spans="1:2" x14ac:dyDescent="0.2">
      <c r="A13" t="s">
        <v>374</v>
      </c>
      <c r="B13" s="16">
        <v>4535</v>
      </c>
    </row>
    <row r="14" spans="1:2" x14ac:dyDescent="0.2">
      <c r="A14" t="s">
        <v>89</v>
      </c>
      <c r="B14" s="15">
        <v>61835</v>
      </c>
    </row>
  </sheetData>
  <conditionalFormatting pivot="1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B2:B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Subbarao analysis</vt:lpstr>
      <vt:lpstr>Purchase Modes</vt:lpstr>
      <vt:lpstr>Sales</vt:lpstr>
      <vt:lpstr>Customer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Vishnu G</cp:lastModifiedBy>
  <cp:revision/>
  <dcterms:created xsi:type="dcterms:W3CDTF">2026-10-15T18:10:10Z</dcterms:created>
  <dcterms:modified xsi:type="dcterms:W3CDTF">2026-10-15T19:25:50Z</dcterms:modified>
  <cp:category/>
  <cp:contentStatus/>
</cp:coreProperties>
</file>